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Xuan\Downloads\"/>
    </mc:Choice>
  </mc:AlternateContent>
  <bookViews>
    <workbookView xWindow="0" yWindow="0" windowWidth="19200" windowHeight="7050" tabRatio="771" activeTab="1"/>
  </bookViews>
  <sheets>
    <sheet name="THANG B.LUONG" sheetId="34" r:id="rId1"/>
    <sheet name="Luong VP" sheetId="30" r:id="rId2"/>
    <sheet name="DT-DS" sheetId="22" state="hidden" r:id="rId3"/>
    <sheet name="TH ngay phep" sheetId="19" state="hidden" r:id="rId4"/>
    <sheet name="phep" sheetId="23" state="hidden" r:id="rId5"/>
    <sheet name="Phép năm" sheetId="29" state="hidden" r:id="rId6"/>
  </sheets>
  <externalReferences>
    <externalReference r:id="rId7"/>
    <externalReference r:id="rId8"/>
  </externalReferences>
  <definedNames>
    <definedName name="_xlnm._FilterDatabase" localSheetId="1" hidden="1">'Luong VP'!$A$5:$AP$201</definedName>
    <definedName name="_xlnm.Print_Titles" localSheetId="1">'Luong VP'!$5:$7</definedName>
  </definedNames>
  <calcPr calcId="162913"/>
</workbook>
</file>

<file path=xl/calcChain.xml><?xml version="1.0" encoding="utf-8"?>
<calcChain xmlns="http://schemas.openxmlformats.org/spreadsheetml/2006/main">
  <c r="C9" i="34" l="1"/>
  <c r="C39" i="34"/>
  <c r="AL112" i="30" l="1"/>
  <c r="D23" i="22" l="1"/>
  <c r="H23" i="22" s="1"/>
  <c r="AM9" i="30" l="1"/>
  <c r="AO9" i="30"/>
  <c r="AM12" i="30"/>
  <c r="AO12" i="30"/>
  <c r="AM24" i="30"/>
  <c r="AO24" i="30"/>
  <c r="AM26" i="30"/>
  <c r="AO26" i="30"/>
  <c r="AM34" i="30"/>
  <c r="AO34" i="30"/>
  <c r="AM44" i="30"/>
  <c r="AO44" i="30"/>
  <c r="AM51" i="30"/>
  <c r="AO51" i="30"/>
  <c r="AM57" i="30"/>
  <c r="AO57" i="30"/>
  <c r="AM60" i="30"/>
  <c r="AO60" i="30"/>
  <c r="AM71" i="30"/>
  <c r="AO71" i="30"/>
  <c r="AM74" i="30"/>
  <c r="AO74" i="30"/>
  <c r="AM76" i="30"/>
  <c r="AO76" i="30"/>
  <c r="AM85" i="30"/>
  <c r="AO85" i="30"/>
  <c r="AM89" i="30"/>
  <c r="AO89" i="30"/>
  <c r="AM106" i="30"/>
  <c r="AO106" i="30"/>
  <c r="AM111" i="30"/>
  <c r="AO111" i="30"/>
  <c r="AM119" i="30"/>
  <c r="AO119" i="30"/>
  <c r="AM122" i="30"/>
  <c r="AO122" i="30"/>
  <c r="AM126" i="30"/>
  <c r="AO126" i="30"/>
  <c r="AM128" i="30"/>
  <c r="AO128" i="30"/>
  <c r="AM130" i="30"/>
  <c r="AO130" i="30"/>
  <c r="AM154" i="30"/>
  <c r="AO154" i="30"/>
  <c r="AM166" i="30"/>
  <c r="AO166" i="30"/>
  <c r="AM182" i="30"/>
  <c r="AO182" i="30"/>
  <c r="J181" i="30" l="1"/>
  <c r="G153" i="30" l="1"/>
  <c r="M153" i="30" s="1"/>
  <c r="H153" i="30"/>
  <c r="I153" i="30"/>
  <c r="AL153" i="30"/>
  <c r="G151" i="30"/>
  <c r="M151" i="30" s="1"/>
  <c r="H151" i="30"/>
  <c r="I151" i="30"/>
  <c r="AL151" i="30"/>
  <c r="G146" i="30"/>
  <c r="M146" i="30" s="1"/>
  <c r="H146" i="30"/>
  <c r="I146" i="30"/>
  <c r="AL146" i="30"/>
  <c r="D22" i="30" l="1"/>
  <c r="G22" i="30"/>
  <c r="M22" i="30" s="1"/>
  <c r="H22" i="30"/>
  <c r="I22" i="30"/>
  <c r="AL22" i="30"/>
  <c r="AD180" i="30" l="1"/>
  <c r="AD179" i="30"/>
  <c r="D181" i="30" l="1"/>
  <c r="G181" i="30"/>
  <c r="M181" i="30" s="1"/>
  <c r="H181" i="30"/>
  <c r="I181" i="30"/>
  <c r="AF181" i="30"/>
  <c r="AL181" i="30"/>
  <c r="X181" i="30"/>
  <c r="AN181" i="30"/>
  <c r="V181" i="30" l="1"/>
  <c r="AN94" i="30"/>
  <c r="D118" i="30" l="1"/>
  <c r="G118" i="30"/>
  <c r="M118" i="30" s="1"/>
  <c r="H118" i="30"/>
  <c r="I118" i="30"/>
  <c r="AL118" i="30"/>
  <c r="D94" i="30"/>
  <c r="G94" i="30"/>
  <c r="M94" i="30" s="1"/>
  <c r="H94" i="30"/>
  <c r="I94" i="30"/>
  <c r="AL94" i="30"/>
  <c r="D50" i="30"/>
  <c r="G50" i="30"/>
  <c r="M50" i="30" s="1"/>
  <c r="V50" i="30" s="1"/>
  <c r="H50" i="30"/>
  <c r="I50" i="30"/>
  <c r="AL50" i="30"/>
  <c r="D43" i="30"/>
  <c r="G43" i="30"/>
  <c r="M43" i="30" s="1"/>
  <c r="H43" i="30"/>
  <c r="I43" i="30"/>
  <c r="AL43" i="30"/>
  <c r="D41" i="30"/>
  <c r="G41" i="30"/>
  <c r="M41" i="30" s="1"/>
  <c r="H41" i="30"/>
  <c r="I41" i="30"/>
  <c r="AL41" i="30"/>
  <c r="J94" i="30" l="1"/>
  <c r="X64" i="30"/>
  <c r="AN64" i="30"/>
  <c r="D64" i="30"/>
  <c r="G64" i="30"/>
  <c r="M64" i="30" s="1"/>
  <c r="H64" i="30"/>
  <c r="I64" i="30"/>
  <c r="AL64" i="30"/>
  <c r="V94" i="30" l="1"/>
  <c r="D192" i="30" l="1"/>
  <c r="G192" i="30"/>
  <c r="M192" i="30" s="1"/>
  <c r="H192" i="30"/>
  <c r="I192" i="30"/>
  <c r="AD192" i="30"/>
  <c r="AF192" i="30"/>
  <c r="AL192" i="30"/>
  <c r="D140" i="30"/>
  <c r="D141" i="30" s="1"/>
  <c r="G140" i="30"/>
  <c r="M140" i="30" s="1"/>
  <c r="H140" i="30"/>
  <c r="I140" i="30"/>
  <c r="AL140" i="30"/>
  <c r="G141" i="30"/>
  <c r="M141" i="30" s="1"/>
  <c r="H141" i="30"/>
  <c r="I141" i="30"/>
  <c r="AL141" i="30"/>
  <c r="D142" i="30" l="1"/>
  <c r="D143" i="30" s="1"/>
  <c r="D68" i="30" l="1"/>
  <c r="AN105" i="30" l="1"/>
  <c r="G105" i="30" l="1"/>
  <c r="H105" i="30"/>
  <c r="I105" i="30"/>
  <c r="X105" i="30"/>
  <c r="AL105" i="30"/>
  <c r="G104" i="30"/>
  <c r="M104" i="30" s="1"/>
  <c r="H104" i="30"/>
  <c r="I104" i="30"/>
  <c r="X104" i="30"/>
  <c r="AL104" i="30"/>
  <c r="AN104" i="30"/>
  <c r="D147" i="30" l="1"/>
  <c r="G147" i="30"/>
  <c r="M147" i="30" s="1"/>
  <c r="H147" i="30"/>
  <c r="I147" i="30"/>
  <c r="AL147" i="30"/>
  <c r="D133" i="30"/>
  <c r="D84" i="30"/>
  <c r="G84" i="30"/>
  <c r="M84" i="30" s="1"/>
  <c r="H84" i="30"/>
  <c r="I84" i="30"/>
  <c r="AL84" i="30"/>
  <c r="G65" i="30"/>
  <c r="M65" i="30" s="1"/>
  <c r="V65" i="30" s="1"/>
  <c r="H65" i="30"/>
  <c r="I65" i="30"/>
  <c r="AL65" i="30"/>
  <c r="D69" i="30"/>
  <c r="G69" i="30"/>
  <c r="M69" i="30" s="1"/>
  <c r="H69" i="30"/>
  <c r="I69" i="30"/>
  <c r="AL69" i="30"/>
  <c r="H58" i="30" l="1"/>
  <c r="D48" i="30"/>
  <c r="G48" i="30"/>
  <c r="M48" i="30" s="1"/>
  <c r="H48" i="30"/>
  <c r="I48" i="30"/>
  <c r="AL48" i="30"/>
  <c r="D47" i="30"/>
  <c r="G47" i="30"/>
  <c r="M47" i="30" s="1"/>
  <c r="H47" i="30"/>
  <c r="I47" i="30"/>
  <c r="AL47" i="30"/>
  <c r="D39" i="30"/>
  <c r="G39" i="30"/>
  <c r="M39" i="30" s="1"/>
  <c r="H39" i="30"/>
  <c r="I39" i="30"/>
  <c r="AL39" i="30"/>
  <c r="D20" i="30"/>
  <c r="G20" i="30"/>
  <c r="M20" i="30" s="1"/>
  <c r="H20" i="30"/>
  <c r="I20" i="30"/>
  <c r="AL20" i="30"/>
  <c r="AE141" i="30" l="1"/>
  <c r="AE140" i="30"/>
  <c r="AE144" i="30"/>
  <c r="AE148" i="30"/>
  <c r="AE149" i="30"/>
  <c r="AE137" i="30"/>
  <c r="AE138" i="30"/>
  <c r="AE147" i="30"/>
  <c r="AE136" i="30"/>
  <c r="AE139" i="30" l="1"/>
  <c r="AE129" i="30" l="1"/>
  <c r="AE134" i="30"/>
  <c r="AE180" i="30"/>
  <c r="AE179" i="30"/>
  <c r="X180" i="30"/>
  <c r="AN180" i="30"/>
  <c r="X179" i="30"/>
  <c r="AN179" i="30"/>
  <c r="AF180" i="30"/>
  <c r="AG180" i="30"/>
  <c r="AL180" i="30"/>
  <c r="AF179" i="30"/>
  <c r="AG179" i="30"/>
  <c r="AL179" i="30"/>
  <c r="G180" i="30"/>
  <c r="M180" i="30" s="1"/>
  <c r="H180" i="30"/>
  <c r="I180" i="30"/>
  <c r="G179" i="30"/>
  <c r="M179" i="30" s="1"/>
  <c r="H179" i="30"/>
  <c r="I179" i="30"/>
  <c r="D180" i="30"/>
  <c r="D179" i="30"/>
  <c r="AN114" i="30"/>
  <c r="X59" i="30"/>
  <c r="AN59" i="30"/>
  <c r="D58" i="30"/>
  <c r="G58" i="30"/>
  <c r="M58" i="30" s="1"/>
  <c r="I58" i="30"/>
  <c r="AL58" i="30"/>
  <c r="D59" i="30"/>
  <c r="G59" i="30"/>
  <c r="M59" i="30" s="1"/>
  <c r="H59" i="30"/>
  <c r="I59" i="30"/>
  <c r="AL59" i="30"/>
  <c r="D114" i="30"/>
  <c r="G114" i="30"/>
  <c r="M114" i="30" s="1"/>
  <c r="H114" i="30"/>
  <c r="I114" i="30"/>
  <c r="AL114" i="30"/>
  <c r="X133" i="30"/>
  <c r="AN133" i="30"/>
  <c r="G133" i="30"/>
  <c r="M133" i="30" s="1"/>
  <c r="H133" i="30"/>
  <c r="I133" i="30"/>
  <c r="AD133" i="30"/>
  <c r="AL133" i="30"/>
  <c r="D135" i="30"/>
  <c r="G135" i="30"/>
  <c r="M135" i="30" s="1"/>
  <c r="H135" i="30"/>
  <c r="I135" i="30"/>
  <c r="AL135" i="30"/>
  <c r="X114" i="30" l="1"/>
  <c r="AL57" i="30"/>
  <c r="AE135" i="30"/>
  <c r="V59" i="30"/>
  <c r="D108" i="30"/>
  <c r="G108" i="30"/>
  <c r="H108" i="30"/>
  <c r="I108" i="30"/>
  <c r="X108" i="30"/>
  <c r="AL108" i="30"/>
  <c r="AN108" i="30"/>
  <c r="D116" i="30"/>
  <c r="J108" i="30" l="1"/>
  <c r="M108" i="30"/>
  <c r="V108" i="30" l="1"/>
  <c r="G70" i="30"/>
  <c r="M70" i="30" s="1"/>
  <c r="H70" i="30"/>
  <c r="I70" i="30"/>
  <c r="AL70" i="30"/>
  <c r="AD178" i="30"/>
  <c r="AG176" i="30"/>
  <c r="AG177" i="30"/>
  <c r="AF175" i="30"/>
  <c r="AF176" i="30"/>
  <c r="AF177" i="30"/>
  <c r="AF178" i="30"/>
  <c r="D110" i="30" l="1"/>
  <c r="J110" i="30" s="1"/>
  <c r="AD132" i="30" l="1"/>
  <c r="L29" i="22" l="1"/>
  <c r="L30" i="22"/>
  <c r="L31" i="22"/>
  <c r="L33" i="22"/>
  <c r="E26" i="22"/>
  <c r="I26" i="22" s="1"/>
  <c r="F26" i="22"/>
  <c r="J26" i="22" s="1"/>
  <c r="E27" i="22"/>
  <c r="I27" i="22" s="1"/>
  <c r="F27" i="22"/>
  <c r="J27" i="22" s="1"/>
  <c r="D26" i="22"/>
  <c r="H26" i="22" s="1"/>
  <c r="D27" i="22"/>
  <c r="H27" i="22" s="1"/>
  <c r="AE131" i="30" l="1"/>
  <c r="L26" i="22"/>
  <c r="L27" i="22"/>
  <c r="AD191" i="30" l="1"/>
  <c r="G148" i="30" l="1"/>
  <c r="M148" i="30" s="1"/>
  <c r="H148" i="30"/>
  <c r="I148" i="30"/>
  <c r="AL148" i="30"/>
  <c r="D139" i="30"/>
  <c r="D134" i="30"/>
  <c r="G139" i="30"/>
  <c r="M139" i="30" s="1"/>
  <c r="H139" i="30"/>
  <c r="I139" i="30"/>
  <c r="AL139" i="30"/>
  <c r="G134" i="30"/>
  <c r="M134" i="30" s="1"/>
  <c r="H134" i="30"/>
  <c r="I134" i="30"/>
  <c r="AL134" i="30"/>
  <c r="G68" i="30" l="1"/>
  <c r="M68" i="30" s="1"/>
  <c r="H68" i="30"/>
  <c r="I68" i="30"/>
  <c r="AL68" i="30"/>
  <c r="D49" i="30"/>
  <c r="D46" i="30"/>
  <c r="D164" i="30" l="1"/>
  <c r="D163" i="30"/>
  <c r="AE192" i="30" l="1"/>
  <c r="X192" i="30" l="1"/>
  <c r="AN192" i="30"/>
  <c r="AN164" i="30" l="1"/>
  <c r="X103" i="30" l="1"/>
  <c r="AN103" i="30"/>
  <c r="G103" i="30"/>
  <c r="M103" i="30" s="1"/>
  <c r="H103" i="30"/>
  <c r="I103" i="30"/>
  <c r="AL103" i="30"/>
  <c r="AN151" i="30" l="1"/>
  <c r="X145" i="30"/>
  <c r="D42" i="30"/>
  <c r="D40" i="30"/>
  <c r="X42" i="30"/>
  <c r="X41" i="30"/>
  <c r="I21" i="30"/>
  <c r="X22" i="30"/>
  <c r="G152" i="30"/>
  <c r="M152" i="30" s="1"/>
  <c r="H152" i="30"/>
  <c r="I152" i="30"/>
  <c r="AL152" i="30"/>
  <c r="G150" i="30"/>
  <c r="M150" i="30" s="1"/>
  <c r="H150" i="30"/>
  <c r="I150" i="30"/>
  <c r="AL150" i="30"/>
  <c r="AN150" i="30"/>
  <c r="G144" i="30"/>
  <c r="M144" i="30" s="1"/>
  <c r="H144" i="30"/>
  <c r="I144" i="30"/>
  <c r="AL144" i="30"/>
  <c r="G145" i="30"/>
  <c r="M145" i="30" s="1"/>
  <c r="H145" i="30"/>
  <c r="I145" i="30"/>
  <c r="AL145" i="30"/>
  <c r="AN152" i="30" l="1"/>
  <c r="AN153" i="30"/>
  <c r="X117" i="30"/>
  <c r="X118" i="30"/>
  <c r="AN145" i="30"/>
  <c r="AN146" i="30"/>
  <c r="X152" i="30"/>
  <c r="X153" i="30"/>
  <c r="X150" i="30"/>
  <c r="X151" i="30"/>
  <c r="AN117" i="30"/>
  <c r="AN41" i="30"/>
  <c r="AN42" i="30"/>
  <c r="D132" i="30"/>
  <c r="G132" i="30"/>
  <c r="M132" i="30" s="1"/>
  <c r="H132" i="30"/>
  <c r="I132" i="30"/>
  <c r="X132" i="30"/>
  <c r="AL132" i="30"/>
  <c r="AN132" i="30"/>
  <c r="H117" i="30" l="1"/>
  <c r="D117" i="30"/>
  <c r="G117" i="30"/>
  <c r="M117" i="30" s="1"/>
  <c r="I117" i="30"/>
  <c r="AL117" i="30"/>
  <c r="G42" i="30"/>
  <c r="M42" i="30" s="1"/>
  <c r="H42" i="30"/>
  <c r="I42" i="30"/>
  <c r="AL42" i="30"/>
  <c r="G40" i="30"/>
  <c r="M40" i="30" s="1"/>
  <c r="H40" i="30"/>
  <c r="I40" i="30"/>
  <c r="X40" i="30"/>
  <c r="AL40" i="30"/>
  <c r="D21" i="30"/>
  <c r="G21" i="30"/>
  <c r="M21" i="30" s="1"/>
  <c r="H21" i="30"/>
  <c r="X21" i="30"/>
  <c r="AL21" i="30"/>
  <c r="AD172" i="30" l="1"/>
  <c r="AD163" i="30" l="1"/>
  <c r="AF157" i="30" l="1"/>
  <c r="AN157" i="30" l="1"/>
  <c r="AN159" i="30"/>
  <c r="AD190" i="30" l="1"/>
  <c r="AD164" i="30"/>
  <c r="AD157" i="30"/>
  <c r="AD165" i="30"/>
  <c r="AE178" i="30"/>
  <c r="G149" i="30" l="1"/>
  <c r="M149" i="30" s="1"/>
  <c r="H149" i="30"/>
  <c r="I149" i="30"/>
  <c r="AL149" i="30"/>
  <c r="X149" i="30"/>
  <c r="AN149" i="30"/>
  <c r="X99" i="30"/>
  <c r="AN99" i="30"/>
  <c r="X98" i="30"/>
  <c r="AN98" i="30"/>
  <c r="G99" i="30"/>
  <c r="M99" i="30" s="1"/>
  <c r="H99" i="30"/>
  <c r="I99" i="30"/>
  <c r="AL99" i="30"/>
  <c r="G98" i="30"/>
  <c r="M98" i="30" s="1"/>
  <c r="H98" i="30"/>
  <c r="I98" i="30"/>
  <c r="AL98" i="30"/>
  <c r="AL178" i="30"/>
  <c r="D178" i="30"/>
  <c r="G178" i="30"/>
  <c r="M178" i="30" s="1"/>
  <c r="H178" i="30"/>
  <c r="I178" i="30"/>
  <c r="X178" i="30"/>
  <c r="AN178" i="30" l="1"/>
  <c r="X84" i="30" l="1"/>
  <c r="X48" i="30" l="1"/>
  <c r="AN65" i="30"/>
  <c r="AN47" i="30"/>
  <c r="X65" i="30"/>
  <c r="X47" i="30"/>
  <c r="AN48" i="30"/>
  <c r="X116" i="30"/>
  <c r="AN116" i="30"/>
  <c r="X115" i="30"/>
  <c r="X20" i="30"/>
  <c r="X143" i="30" l="1"/>
  <c r="AN143" i="30"/>
  <c r="X142" i="30"/>
  <c r="AN142" i="30"/>
  <c r="X148" i="30"/>
  <c r="AN148" i="30"/>
  <c r="AN156" i="30"/>
  <c r="G116" i="30"/>
  <c r="M116" i="30" s="1"/>
  <c r="H116" i="30"/>
  <c r="I116" i="30"/>
  <c r="AL116" i="30"/>
  <c r="G143" i="30"/>
  <c r="H143" i="30"/>
  <c r="I143" i="30"/>
  <c r="AL143" i="30"/>
  <c r="G142" i="30"/>
  <c r="M142" i="30" s="1"/>
  <c r="H142" i="30"/>
  <c r="I142" i="30"/>
  <c r="AL142" i="30"/>
  <c r="AN141" i="30" l="1"/>
  <c r="AN140" i="30"/>
  <c r="X140" i="30"/>
  <c r="X141" i="30"/>
  <c r="X147" i="30"/>
  <c r="AN147" i="30"/>
  <c r="M143" i="30"/>
  <c r="X39" i="30" l="1"/>
  <c r="AN39" i="30"/>
  <c r="X38" i="30"/>
  <c r="G38" i="30"/>
  <c r="M38" i="30" s="1"/>
  <c r="D38" i="30"/>
  <c r="H38" i="30"/>
  <c r="I38" i="30"/>
  <c r="AL38" i="30"/>
  <c r="X58" i="30" l="1"/>
  <c r="AN58" i="30"/>
  <c r="AN38" i="30"/>
  <c r="AN57" i="30" l="1"/>
  <c r="AE157" i="30" l="1"/>
  <c r="D124" i="30" l="1"/>
  <c r="J124" i="30" l="1"/>
  <c r="D115" i="30"/>
  <c r="D113" i="30" l="1"/>
  <c r="C85" i="34"/>
  <c r="D85" i="34" s="1"/>
  <c r="E85" i="34" s="1"/>
  <c r="F85" i="34" s="1"/>
  <c r="G85" i="34" s="1"/>
  <c r="H85" i="34" s="1"/>
  <c r="I85" i="34" s="1"/>
  <c r="J85" i="34" s="1"/>
  <c r="K85" i="34" s="1"/>
  <c r="L85" i="34" s="1"/>
  <c r="A85" i="34"/>
  <c r="C86" i="34"/>
  <c r="D86" i="34" s="1"/>
  <c r="E86" i="34" s="1"/>
  <c r="F86" i="34" s="1"/>
  <c r="G86" i="34" s="1"/>
  <c r="H86" i="34" s="1"/>
  <c r="I86" i="34" s="1"/>
  <c r="J86" i="34" s="1"/>
  <c r="K86" i="34" s="1"/>
  <c r="L86" i="34" s="1"/>
  <c r="D112" i="30"/>
  <c r="C87" i="34"/>
  <c r="D87" i="34" s="1"/>
  <c r="E87" i="34" s="1"/>
  <c r="F87" i="34" s="1"/>
  <c r="G87" i="34" s="1"/>
  <c r="H87" i="34" s="1"/>
  <c r="I87" i="34" s="1"/>
  <c r="J87" i="34" s="1"/>
  <c r="K87" i="34" s="1"/>
  <c r="L87" i="34" s="1"/>
  <c r="C88" i="34"/>
  <c r="D88" i="34" s="1"/>
  <c r="C89" i="34"/>
  <c r="C90" i="34"/>
  <c r="D90" i="34" s="1"/>
  <c r="C91" i="34"/>
  <c r="D91" i="34" s="1"/>
  <c r="E91" i="34" s="1"/>
  <c r="F91" i="34" s="1"/>
  <c r="G91" i="34" s="1"/>
  <c r="H91" i="34" s="1"/>
  <c r="I91" i="34" s="1"/>
  <c r="J91" i="34" s="1"/>
  <c r="K91" i="34" s="1"/>
  <c r="L91" i="34" s="1"/>
  <c r="C84" i="34"/>
  <c r="D84" i="34" s="1"/>
  <c r="E84" i="34" s="1"/>
  <c r="F84" i="34" s="1"/>
  <c r="G84" i="34" s="1"/>
  <c r="H84" i="34" s="1"/>
  <c r="I84" i="34" s="1"/>
  <c r="J84" i="34" s="1"/>
  <c r="K84" i="34" s="1"/>
  <c r="L84" i="34" s="1"/>
  <c r="E90" i="34" l="1"/>
  <c r="F90" i="34" s="1"/>
  <c r="G90" i="34" s="1"/>
  <c r="H90" i="34" s="1"/>
  <c r="I90" i="34" s="1"/>
  <c r="J90" i="34" s="1"/>
  <c r="K90" i="34" s="1"/>
  <c r="L90" i="34" s="1"/>
  <c r="J118" i="30"/>
  <c r="V118" i="30" s="1"/>
  <c r="D89" i="34"/>
  <c r="E89" i="34" s="1"/>
  <c r="F89" i="34" s="1"/>
  <c r="G89" i="34" s="1"/>
  <c r="H89" i="34" s="1"/>
  <c r="I89" i="34" s="1"/>
  <c r="J89" i="34" s="1"/>
  <c r="K89" i="34" s="1"/>
  <c r="L89" i="34" s="1"/>
  <c r="J116" i="30"/>
  <c r="E88" i="34"/>
  <c r="F88" i="34" s="1"/>
  <c r="G88" i="34" s="1"/>
  <c r="H88" i="34" s="1"/>
  <c r="I88" i="34" s="1"/>
  <c r="J88" i="34" s="1"/>
  <c r="K88" i="34" s="1"/>
  <c r="L88" i="34" s="1"/>
  <c r="J114" i="30"/>
  <c r="D35" i="30"/>
  <c r="J117" i="30" l="1"/>
  <c r="V116" i="30"/>
  <c r="V114" i="30"/>
  <c r="G35" i="30"/>
  <c r="D37" i="30"/>
  <c r="D36" i="30"/>
  <c r="V117" i="30" l="1"/>
  <c r="D69" i="34"/>
  <c r="J43" i="30" s="1"/>
  <c r="V43" i="30" s="1"/>
  <c r="D68" i="34"/>
  <c r="C67" i="34"/>
  <c r="D67" i="34" s="1"/>
  <c r="E67" i="34" s="1"/>
  <c r="F67" i="34" s="1"/>
  <c r="G67" i="34" s="1"/>
  <c r="H67" i="34" s="1"/>
  <c r="I67" i="34" s="1"/>
  <c r="J67" i="34" s="1"/>
  <c r="K67" i="34" s="1"/>
  <c r="L67" i="34" s="1"/>
  <c r="C66" i="34"/>
  <c r="D66" i="34" s="1"/>
  <c r="C65" i="34"/>
  <c r="D65" i="34" s="1"/>
  <c r="E65" i="34" s="1"/>
  <c r="F65" i="34" s="1"/>
  <c r="G65" i="34" s="1"/>
  <c r="H65" i="34" s="1"/>
  <c r="I65" i="34" s="1"/>
  <c r="J65" i="34" s="1"/>
  <c r="K65" i="34" s="1"/>
  <c r="L65" i="34" s="1"/>
  <c r="D64" i="34"/>
  <c r="E64" i="34" s="1"/>
  <c r="F64" i="34" s="1"/>
  <c r="G64" i="34" s="1"/>
  <c r="H64" i="34" s="1"/>
  <c r="I64" i="34" s="1"/>
  <c r="J64" i="34" s="1"/>
  <c r="K64" i="34" s="1"/>
  <c r="L64" i="34" s="1"/>
  <c r="D63" i="34"/>
  <c r="E63" i="34" s="1"/>
  <c r="F63" i="34" s="1"/>
  <c r="G63" i="34" s="1"/>
  <c r="H63" i="34" s="1"/>
  <c r="I63" i="34" s="1"/>
  <c r="J63" i="34" s="1"/>
  <c r="K63" i="34" s="1"/>
  <c r="L63" i="34" s="1"/>
  <c r="C62" i="34"/>
  <c r="D62" i="34" s="1"/>
  <c r="E62" i="34" s="1"/>
  <c r="F62" i="34" s="1"/>
  <c r="G62" i="34" s="1"/>
  <c r="H62" i="34" s="1"/>
  <c r="I62" i="34" s="1"/>
  <c r="J62" i="34" s="1"/>
  <c r="K62" i="34" s="1"/>
  <c r="L62" i="34" s="1"/>
  <c r="J39" i="30" l="1"/>
  <c r="V39" i="30" s="1"/>
  <c r="E69" i="34"/>
  <c r="J42" i="30"/>
  <c r="V42" i="30" s="1"/>
  <c r="E68" i="34"/>
  <c r="F68" i="34" s="1"/>
  <c r="G68" i="34" s="1"/>
  <c r="H68" i="34" s="1"/>
  <c r="I68" i="34" s="1"/>
  <c r="J68" i="34" s="1"/>
  <c r="K68" i="34" s="1"/>
  <c r="L68" i="34" s="1"/>
  <c r="E66" i="34"/>
  <c r="F66" i="34" s="1"/>
  <c r="G66" i="34" s="1"/>
  <c r="H66" i="34" s="1"/>
  <c r="I66" i="34" s="1"/>
  <c r="J66" i="34" s="1"/>
  <c r="K66" i="34" s="1"/>
  <c r="L66" i="34" s="1"/>
  <c r="C64" i="34"/>
  <c r="J38" i="30" s="1"/>
  <c r="V38" i="30" s="1"/>
  <c r="C63" i="34"/>
  <c r="C69" i="34"/>
  <c r="C68" i="34"/>
  <c r="AN28" i="30"/>
  <c r="AN29" i="30"/>
  <c r="AN30" i="30"/>
  <c r="AN31" i="30"/>
  <c r="AN32" i="30"/>
  <c r="AN33" i="30"/>
  <c r="D121" i="30"/>
  <c r="D120" i="30"/>
  <c r="D107" i="30"/>
  <c r="D95" i="30"/>
  <c r="AD177" i="30"/>
  <c r="F69" i="34" l="1"/>
  <c r="G69" i="34" s="1"/>
  <c r="H69" i="34" s="1"/>
  <c r="I69" i="34" s="1"/>
  <c r="J69" i="34" s="1"/>
  <c r="K69" i="34" s="1"/>
  <c r="L69" i="34" s="1"/>
  <c r="J41" i="30"/>
  <c r="V41" i="30" s="1"/>
  <c r="J40" i="30"/>
  <c r="V40" i="30" l="1"/>
  <c r="AN160" i="30"/>
  <c r="G124" i="30"/>
  <c r="H124" i="30"/>
  <c r="I124" i="30"/>
  <c r="AL124" i="30"/>
  <c r="X124" i="30"/>
  <c r="X97" i="30"/>
  <c r="AN97" i="30"/>
  <c r="X102" i="30"/>
  <c r="G97" i="30"/>
  <c r="M97" i="30" s="1"/>
  <c r="H97" i="30"/>
  <c r="I97" i="30"/>
  <c r="AL97" i="30"/>
  <c r="G102" i="30"/>
  <c r="M102" i="30" s="1"/>
  <c r="H102" i="30"/>
  <c r="I102" i="30"/>
  <c r="AL102" i="30"/>
  <c r="G101" i="30"/>
  <c r="M101" i="30" s="1"/>
  <c r="H101" i="30"/>
  <c r="I101" i="30"/>
  <c r="AL101" i="30"/>
  <c r="X68" i="30"/>
  <c r="E23" i="22"/>
  <c r="C44" i="22"/>
  <c r="D131" i="30"/>
  <c r="AL188" i="30"/>
  <c r="AF188" i="30"/>
  <c r="AD188" i="30"/>
  <c r="I188" i="30"/>
  <c r="H188" i="30"/>
  <c r="G188" i="30"/>
  <c r="M188" i="30" s="1"/>
  <c r="D188" i="30"/>
  <c r="AN188" i="30"/>
  <c r="X165" i="30"/>
  <c r="AN165" i="30"/>
  <c r="G165" i="30"/>
  <c r="H165" i="30"/>
  <c r="I165" i="30"/>
  <c r="AF165" i="30"/>
  <c r="AL165" i="30"/>
  <c r="D165" i="30"/>
  <c r="AN101" i="30" l="1"/>
  <c r="X101" i="30"/>
  <c r="X94" i="30"/>
  <c r="X188" i="30"/>
  <c r="AN134" i="30"/>
  <c r="X134" i="30"/>
  <c r="AN102" i="30"/>
  <c r="AN139" i="30"/>
  <c r="AN68" i="30"/>
  <c r="X139" i="30"/>
  <c r="AN144" i="30"/>
  <c r="X144" i="30"/>
  <c r="AN124" i="30"/>
  <c r="M124" i="30"/>
  <c r="M165" i="30"/>
  <c r="G164" i="30" l="1"/>
  <c r="M164" i="30" s="1"/>
  <c r="H164" i="30"/>
  <c r="I164" i="30"/>
  <c r="AF164" i="30"/>
  <c r="AG164" i="30"/>
  <c r="AL164" i="30"/>
  <c r="D56" i="30" l="1"/>
  <c r="G56" i="30"/>
  <c r="M56" i="30" s="1"/>
  <c r="H56" i="30"/>
  <c r="I56" i="30"/>
  <c r="AL56" i="30"/>
  <c r="AL177" i="30" l="1"/>
  <c r="I177" i="30"/>
  <c r="H177" i="30"/>
  <c r="G177" i="30"/>
  <c r="M177" i="30" s="1"/>
  <c r="G55" i="30" l="1"/>
  <c r="M55" i="30" s="1"/>
  <c r="H55" i="30"/>
  <c r="I55" i="30"/>
  <c r="AL55" i="30"/>
  <c r="H186" i="30"/>
  <c r="AY91" i="29"/>
  <c r="AZ28" i="29"/>
  <c r="AZ35" i="29"/>
  <c r="AZ16" i="29"/>
  <c r="AH157" i="30" l="1"/>
  <c r="AE177" i="30" l="1"/>
  <c r="AN191" i="30" l="1"/>
  <c r="AN163" i="30"/>
  <c r="AN162" i="30"/>
  <c r="AN161" i="30"/>
  <c r="AN158" i="30"/>
  <c r="X177" i="30"/>
  <c r="AN177" i="30"/>
  <c r="X164" i="30"/>
  <c r="D177" i="30"/>
  <c r="X70" i="30" l="1"/>
  <c r="AN70" i="30"/>
  <c r="AY61" i="29"/>
  <c r="I127" i="30" l="1"/>
  <c r="H127" i="30"/>
  <c r="G127" i="30"/>
  <c r="G49" i="30" l="1"/>
  <c r="H49" i="30"/>
  <c r="I49" i="30"/>
  <c r="AL49" i="30"/>
  <c r="M49" i="30" l="1"/>
  <c r="AL32" i="30" l="1"/>
  <c r="D33" i="30"/>
  <c r="D40" i="22" l="1"/>
  <c r="G82" i="30" l="1"/>
  <c r="H82" i="30"/>
  <c r="I82" i="30"/>
  <c r="G83" i="30"/>
  <c r="H83" i="30"/>
  <c r="I83" i="30"/>
  <c r="A18" i="34" l="1"/>
  <c r="AN112" i="30" l="1"/>
  <c r="AA112" i="30"/>
  <c r="Z112" i="30"/>
  <c r="I112" i="30"/>
  <c r="H112" i="30"/>
  <c r="G112" i="30"/>
  <c r="M112" i="30" s="1"/>
  <c r="G18" i="30"/>
  <c r="M18" i="30" s="1"/>
  <c r="H18" i="30"/>
  <c r="I18" i="30"/>
  <c r="AL18" i="30"/>
  <c r="X112" i="30" l="1"/>
  <c r="AN18" i="30"/>
  <c r="AN36" i="30"/>
  <c r="AN37" i="30"/>
  <c r="AN50" i="30"/>
  <c r="AN49" i="30"/>
  <c r="AN53" i="30"/>
  <c r="AN54" i="30"/>
  <c r="AN56" i="30"/>
  <c r="AN69" i="30"/>
  <c r="AN83" i="30"/>
  <c r="AN91" i="30"/>
  <c r="AN92" i="30"/>
  <c r="AN93" i="30"/>
  <c r="AN95" i="30"/>
  <c r="AN96" i="30"/>
  <c r="AN109" i="30"/>
  <c r="AN110" i="30"/>
  <c r="AN113" i="30"/>
  <c r="AN121" i="30"/>
  <c r="AN135" i="30"/>
  <c r="AN168" i="30"/>
  <c r="AN169" i="30"/>
  <c r="AN170" i="30"/>
  <c r="AN171" i="30"/>
  <c r="AN172" i="30"/>
  <c r="AN173" i="30"/>
  <c r="AN174" i="30"/>
  <c r="AN175" i="30"/>
  <c r="AN176" i="30"/>
  <c r="AN190" i="30"/>
  <c r="AN79" i="30" l="1"/>
  <c r="AN187" i="30"/>
  <c r="AN100" i="30"/>
  <c r="AN78" i="30"/>
  <c r="AN186" i="30"/>
  <c r="AN189" i="30"/>
  <c r="AN67" i="30"/>
  <c r="AN66" i="30"/>
  <c r="AN82" i="30"/>
  <c r="AN81" i="30"/>
  <c r="AN63" i="30"/>
  <c r="AN185" i="30"/>
  <c r="AN184" i="30"/>
  <c r="AN80" i="30"/>
  <c r="AN62" i="30"/>
  <c r="AN46" i="30"/>
  <c r="X18" i="30"/>
  <c r="AN115" i="30"/>
  <c r="AN111" i="30" s="1"/>
  <c r="AN55" i="30"/>
  <c r="J104" i="22" l="1"/>
  <c r="J102" i="22"/>
  <c r="G102" i="22"/>
  <c r="F102" i="22"/>
  <c r="B102" i="22"/>
  <c r="A102" i="22"/>
  <c r="J101" i="22"/>
  <c r="G101" i="22"/>
  <c r="F101" i="22"/>
  <c r="B101" i="22"/>
  <c r="A101" i="22"/>
  <c r="J100" i="22"/>
  <c r="G100" i="22"/>
  <c r="F100" i="22"/>
  <c r="B100" i="22"/>
  <c r="A100" i="22"/>
  <c r="J99" i="22"/>
  <c r="G99" i="22"/>
  <c r="F99" i="22"/>
  <c r="B99" i="22"/>
  <c r="A99" i="22"/>
  <c r="J98" i="22"/>
  <c r="G98" i="22"/>
  <c r="F98" i="22"/>
  <c r="B98" i="22"/>
  <c r="A98" i="22"/>
  <c r="J97" i="22"/>
  <c r="G97" i="22"/>
  <c r="F97" i="22"/>
  <c r="B97" i="22"/>
  <c r="A97" i="22"/>
  <c r="J96" i="22"/>
  <c r="G96" i="22"/>
  <c r="F96" i="22"/>
  <c r="B96" i="22"/>
  <c r="A96" i="22"/>
  <c r="J95" i="22"/>
  <c r="G95" i="22"/>
  <c r="F95" i="22"/>
  <c r="B95" i="22"/>
  <c r="A95" i="22"/>
  <c r="J94" i="22"/>
  <c r="G94" i="22"/>
  <c r="F94" i="22"/>
  <c r="B94" i="22"/>
  <c r="A94" i="22"/>
  <c r="J93" i="22"/>
  <c r="G93" i="22"/>
  <c r="F93" i="22"/>
  <c r="B93" i="22"/>
  <c r="A93" i="22"/>
  <c r="J92" i="22"/>
  <c r="G92" i="22"/>
  <c r="F92" i="22"/>
  <c r="B92" i="22"/>
  <c r="A92" i="22"/>
  <c r="J91" i="22"/>
  <c r="G91" i="22"/>
  <c r="F91" i="22"/>
  <c r="B91" i="22"/>
  <c r="A91" i="22"/>
  <c r="J90" i="22"/>
  <c r="G90" i="22"/>
  <c r="F90" i="22"/>
  <c r="B90" i="22"/>
  <c r="A90" i="22"/>
  <c r="J89" i="22"/>
  <c r="G89" i="22"/>
  <c r="F89" i="22"/>
  <c r="B89" i="22"/>
  <c r="A89" i="22"/>
  <c r="J88" i="22"/>
  <c r="G88" i="22"/>
  <c r="F88" i="22"/>
  <c r="B88" i="22"/>
  <c r="A88" i="22"/>
  <c r="J87" i="22"/>
  <c r="G87" i="22"/>
  <c r="F87" i="22"/>
  <c r="B87" i="22"/>
  <c r="A87" i="22"/>
  <c r="J86" i="22"/>
  <c r="G86" i="22"/>
  <c r="F86" i="22"/>
  <c r="B86" i="22"/>
  <c r="A86" i="22"/>
  <c r="J85" i="22"/>
  <c r="G85" i="22"/>
  <c r="F85" i="22"/>
  <c r="B85" i="22"/>
  <c r="A85" i="22"/>
  <c r="J84" i="22"/>
  <c r="G84" i="22"/>
  <c r="F84" i="22"/>
  <c r="B84" i="22"/>
  <c r="A84" i="22"/>
  <c r="J83" i="22"/>
  <c r="G83" i="22"/>
  <c r="F83" i="22"/>
  <c r="B83" i="22"/>
  <c r="A83" i="22"/>
  <c r="J82" i="22"/>
  <c r="G82" i="22"/>
  <c r="F82" i="22"/>
  <c r="B82" i="22"/>
  <c r="A82" i="22"/>
  <c r="J81" i="22"/>
  <c r="G81" i="22"/>
  <c r="F81" i="22"/>
  <c r="B81" i="22"/>
  <c r="A81" i="22"/>
  <c r="J80" i="22"/>
  <c r="G80" i="22"/>
  <c r="F80" i="22"/>
  <c r="B80" i="22"/>
  <c r="A80" i="22"/>
  <c r="J79" i="22"/>
  <c r="G79" i="22"/>
  <c r="F79" i="22"/>
  <c r="B79" i="22"/>
  <c r="A79" i="22"/>
  <c r="J78" i="22"/>
  <c r="G78" i="22"/>
  <c r="F78" i="22"/>
  <c r="B78" i="22"/>
  <c r="A78" i="22"/>
  <c r="J77" i="22"/>
  <c r="G77" i="22"/>
  <c r="F77" i="22"/>
  <c r="B77" i="22"/>
  <c r="A77" i="22"/>
  <c r="J76" i="22"/>
  <c r="G76" i="22"/>
  <c r="F76" i="22"/>
  <c r="B76" i="22"/>
  <c r="A76" i="22"/>
  <c r="J75" i="22"/>
  <c r="G75" i="22"/>
  <c r="F75" i="22"/>
  <c r="B75" i="22"/>
  <c r="A75" i="22"/>
  <c r="J74" i="22"/>
  <c r="G74" i="22"/>
  <c r="F74" i="22"/>
  <c r="B74" i="22"/>
  <c r="A74" i="22"/>
  <c r="J73" i="22"/>
  <c r="G73" i="22"/>
  <c r="F73" i="22"/>
  <c r="B73" i="22"/>
  <c r="A73" i="22"/>
  <c r="J72" i="22"/>
  <c r="G72" i="22"/>
  <c r="F72" i="22"/>
  <c r="B72" i="22"/>
  <c r="A72" i="22"/>
  <c r="J71" i="22"/>
  <c r="G71" i="22"/>
  <c r="F71" i="22"/>
  <c r="B71" i="22"/>
  <c r="A71" i="22"/>
  <c r="J70" i="22"/>
  <c r="G70" i="22"/>
  <c r="F70" i="22"/>
  <c r="B70" i="22"/>
  <c r="A70" i="22"/>
  <c r="J69" i="22"/>
  <c r="G69" i="22"/>
  <c r="F69" i="22"/>
  <c r="B69" i="22"/>
  <c r="A69" i="22"/>
  <c r="J68" i="22"/>
  <c r="G68" i="22"/>
  <c r="F68" i="22"/>
  <c r="B68" i="22"/>
  <c r="A68" i="22"/>
  <c r="J67" i="22"/>
  <c r="G67" i="22"/>
  <c r="F67" i="22"/>
  <c r="B67" i="22"/>
  <c r="A67" i="22"/>
  <c r="J66" i="22"/>
  <c r="G66" i="22"/>
  <c r="F66" i="22"/>
  <c r="B66" i="22"/>
  <c r="B17" i="22" s="1"/>
  <c r="A66" i="22"/>
  <c r="A17" i="22" s="1"/>
  <c r="J65" i="22"/>
  <c r="G65" i="22"/>
  <c r="F65" i="22"/>
  <c r="B65" i="22"/>
  <c r="A65" i="22"/>
  <c r="J64" i="22"/>
  <c r="G64" i="22"/>
  <c r="F64" i="22"/>
  <c r="B64" i="22"/>
  <c r="A64" i="22"/>
  <c r="J63" i="22"/>
  <c r="G63" i="22"/>
  <c r="F63" i="22"/>
  <c r="B63" i="22"/>
  <c r="A63" i="22"/>
  <c r="J62" i="22"/>
  <c r="G62" i="22"/>
  <c r="F62" i="22"/>
  <c r="B62" i="22"/>
  <c r="A62" i="22"/>
  <c r="J61" i="22"/>
  <c r="G61" i="22"/>
  <c r="F61" i="22"/>
  <c r="B61" i="22"/>
  <c r="A61" i="22"/>
  <c r="J60" i="22"/>
  <c r="G60" i="22"/>
  <c r="F60" i="22"/>
  <c r="B60" i="22"/>
  <c r="A60" i="22"/>
  <c r="J59" i="22"/>
  <c r="G59" i="22"/>
  <c r="F59" i="22"/>
  <c r="B59" i="22"/>
  <c r="A59" i="22"/>
  <c r="J58" i="22"/>
  <c r="G58" i="22"/>
  <c r="F58" i="22"/>
  <c r="B58" i="22"/>
  <c r="A58" i="22"/>
  <c r="J57" i="22"/>
  <c r="G57" i="22"/>
  <c r="F57" i="22"/>
  <c r="B57" i="22"/>
  <c r="A57" i="22"/>
  <c r="J56" i="22"/>
  <c r="G56" i="22"/>
  <c r="F56" i="22"/>
  <c r="B56" i="22"/>
  <c r="A56" i="22"/>
  <c r="J55" i="22"/>
  <c r="G55" i="22"/>
  <c r="F55" i="22"/>
  <c r="B55" i="22"/>
  <c r="A55" i="22"/>
  <c r="J54" i="22"/>
  <c r="G54" i="22"/>
  <c r="F54" i="22"/>
  <c r="B54" i="22"/>
  <c r="A54" i="22"/>
  <c r="J53" i="22"/>
  <c r="G53" i="22"/>
  <c r="F53" i="22"/>
  <c r="B53" i="22"/>
  <c r="A53" i="22"/>
  <c r="J52" i="22"/>
  <c r="G52" i="22"/>
  <c r="F52" i="22"/>
  <c r="B52" i="22"/>
  <c r="A52" i="22"/>
  <c r="C48" i="22"/>
  <c r="B48" i="22"/>
  <c r="A48" i="22"/>
  <c r="H40" i="22"/>
  <c r="E32" i="22"/>
  <c r="F32" i="22" s="1"/>
  <c r="G32" i="22" s="1"/>
  <c r="D32" i="22"/>
  <c r="B32" i="22"/>
  <c r="A32" i="22"/>
  <c r="E31" i="22"/>
  <c r="F31" i="22" s="1"/>
  <c r="D31" i="22"/>
  <c r="E30" i="22"/>
  <c r="F30" i="22" s="1"/>
  <c r="D30" i="22"/>
  <c r="E29" i="22"/>
  <c r="F29" i="22" s="1"/>
  <c r="D29" i="22"/>
  <c r="E28" i="22"/>
  <c r="I28" i="22" s="1"/>
  <c r="D28" i="22"/>
  <c r="H28" i="22" s="1"/>
  <c r="F25" i="22"/>
  <c r="J25" i="22" s="1"/>
  <c r="E25" i="22"/>
  <c r="I25" i="22" s="1"/>
  <c r="D25" i="22"/>
  <c r="H25" i="22" s="1"/>
  <c r="E24" i="22"/>
  <c r="I24" i="22" s="1"/>
  <c r="D24" i="22"/>
  <c r="H24" i="22" s="1"/>
  <c r="I23" i="22"/>
  <c r="I17" i="22"/>
  <c r="H17" i="22"/>
  <c r="F17" i="22"/>
  <c r="D17" i="22"/>
  <c r="I16" i="22"/>
  <c r="H16" i="22"/>
  <c r="F16" i="22"/>
  <c r="D16" i="22"/>
  <c r="B16" i="22"/>
  <c r="A16" i="22"/>
  <c r="I15" i="22"/>
  <c r="H15" i="22"/>
  <c r="F15" i="22"/>
  <c r="D15" i="22"/>
  <c r="B15" i="22"/>
  <c r="A15" i="22"/>
  <c r="I14" i="22"/>
  <c r="H14" i="22"/>
  <c r="F14" i="22"/>
  <c r="D14" i="22"/>
  <c r="B14" i="22"/>
  <c r="A14" i="22"/>
  <c r="I13" i="22"/>
  <c r="H13" i="22"/>
  <c r="F13" i="22"/>
  <c r="D13" i="22"/>
  <c r="B13" i="22"/>
  <c r="A13" i="22"/>
  <c r="I12" i="22"/>
  <c r="H12" i="22"/>
  <c r="F12" i="22"/>
  <c r="D12" i="22"/>
  <c r="B12" i="22"/>
  <c r="A12" i="22"/>
  <c r="I11" i="22"/>
  <c r="H11" i="22"/>
  <c r="F11" i="22"/>
  <c r="D11" i="22"/>
  <c r="B11" i="22"/>
  <c r="A11" i="22"/>
  <c r="I10" i="22"/>
  <c r="H10" i="22"/>
  <c r="F10" i="22"/>
  <c r="D10" i="22"/>
  <c r="B10" i="22"/>
  <c r="A10" i="22"/>
  <c r="I9" i="22"/>
  <c r="H9" i="22"/>
  <c r="F9" i="22"/>
  <c r="D9" i="22"/>
  <c r="B9" i="22"/>
  <c r="A9" i="22"/>
  <c r="I8" i="22"/>
  <c r="H8" i="22"/>
  <c r="F8" i="22"/>
  <c r="D8" i="22"/>
  <c r="B8" i="22"/>
  <c r="A8" i="22"/>
  <c r="I7" i="22"/>
  <c r="H7" i="22"/>
  <c r="F7" i="22"/>
  <c r="D7" i="22"/>
  <c r="B7" i="22"/>
  <c r="A7" i="22"/>
  <c r="I6" i="22"/>
  <c r="H6" i="22"/>
  <c r="F6" i="22"/>
  <c r="D6" i="22"/>
  <c r="B6" i="22"/>
  <c r="A6" i="22"/>
  <c r="D158" i="30"/>
  <c r="D159" i="30"/>
  <c r="D160" i="30"/>
  <c r="D161" i="30"/>
  <c r="D162" i="30"/>
  <c r="D156" i="30"/>
  <c r="D19" i="30"/>
  <c r="H58" i="22" l="1"/>
  <c r="H74" i="22"/>
  <c r="H66" i="22"/>
  <c r="H82" i="22"/>
  <c r="H90" i="22"/>
  <c r="H98" i="22"/>
  <c r="L25" i="22"/>
  <c r="F24" i="22"/>
  <c r="J24" i="22" s="1"/>
  <c r="L24" i="22" s="1"/>
  <c r="H57" i="22"/>
  <c r="H65" i="22"/>
  <c r="H73" i="22"/>
  <c r="H81" i="22"/>
  <c r="H89" i="22"/>
  <c r="H97" i="22"/>
  <c r="H53" i="22"/>
  <c r="H61" i="22"/>
  <c r="H69" i="22"/>
  <c r="H77" i="22"/>
  <c r="H85" i="22"/>
  <c r="H93" i="22"/>
  <c r="H101" i="22"/>
  <c r="E40" i="22"/>
  <c r="I40" i="22" s="1"/>
  <c r="L40" i="22" s="1"/>
  <c r="H52" i="22"/>
  <c r="H60" i="22"/>
  <c r="H68" i="22"/>
  <c r="H76" i="22"/>
  <c r="H84" i="22"/>
  <c r="H92" i="22"/>
  <c r="H100" i="22"/>
  <c r="J9" i="22"/>
  <c r="J17" i="22"/>
  <c r="H55" i="22"/>
  <c r="H71" i="22"/>
  <c r="H95" i="22"/>
  <c r="J8" i="22"/>
  <c r="J12" i="22"/>
  <c r="J16" i="22"/>
  <c r="J6" i="22"/>
  <c r="J10" i="22"/>
  <c r="J14" i="22"/>
  <c r="H59" i="22"/>
  <c r="H67" i="22"/>
  <c r="H75" i="22"/>
  <c r="H83" i="22"/>
  <c r="H91" i="22"/>
  <c r="H99" i="22"/>
  <c r="J105" i="22"/>
  <c r="J7" i="22"/>
  <c r="J11" i="22"/>
  <c r="J15" i="22"/>
  <c r="H54" i="22"/>
  <c r="H62" i="22"/>
  <c r="H70" i="22"/>
  <c r="H78" i="22"/>
  <c r="H86" i="22"/>
  <c r="H94" i="22"/>
  <c r="H102" i="22"/>
  <c r="D48" i="22"/>
  <c r="H48" i="22" s="1"/>
  <c r="H56" i="22"/>
  <c r="H64" i="22"/>
  <c r="H72" i="22"/>
  <c r="H80" i="22"/>
  <c r="H88" i="22"/>
  <c r="H96" i="22"/>
  <c r="J13" i="22"/>
  <c r="H63" i="22"/>
  <c r="H79" i="22"/>
  <c r="H87" i="22"/>
  <c r="D36" i="22"/>
  <c r="H36" i="22" s="1"/>
  <c r="F23" i="22"/>
  <c r="F28" i="22"/>
  <c r="J28" i="22" s="1"/>
  <c r="L28" i="22" s="1"/>
  <c r="H32" i="22"/>
  <c r="L32" i="22" s="1"/>
  <c r="J23" i="22" l="1"/>
  <c r="L23" i="22" s="1"/>
  <c r="E36" i="22"/>
  <c r="I36" i="22" s="1"/>
  <c r="L36" i="22" s="1"/>
  <c r="E48" i="22"/>
  <c r="I48" i="22" s="1"/>
  <c r="D44" i="22"/>
  <c r="H44" i="22" s="1"/>
  <c r="F48" i="22" l="1"/>
  <c r="J48" i="22" s="1"/>
  <c r="L48" i="22" s="1"/>
  <c r="E44" i="22"/>
  <c r="I44" i="22" s="1"/>
  <c r="L44" i="22" s="1"/>
  <c r="AD176" i="30"/>
  <c r="AD158" i="30" l="1"/>
  <c r="AD156" i="30"/>
  <c r="AD159" i="30"/>
  <c r="AD162" i="30"/>
  <c r="AD160" i="30"/>
  <c r="AG178" i="30" l="1"/>
  <c r="AG192" i="30"/>
  <c r="AG191" i="30"/>
  <c r="AG169" i="30"/>
  <c r="AG167" i="30"/>
  <c r="AG187" i="30"/>
  <c r="AG185" i="30"/>
  <c r="AG159" i="30"/>
  <c r="AG163" i="30"/>
  <c r="AG172" i="30"/>
  <c r="AG175" i="30"/>
  <c r="AG160" i="30"/>
  <c r="AG174" i="30"/>
  <c r="AG161" i="30"/>
  <c r="AG181" i="30"/>
  <c r="AG156" i="30"/>
  <c r="AG173" i="30"/>
  <c r="AG189" i="30"/>
  <c r="AG186" i="30"/>
  <c r="AG162" i="30"/>
  <c r="AG184" i="30"/>
  <c r="AG158" i="30"/>
  <c r="AG171" i="30"/>
  <c r="AG170" i="30"/>
  <c r="AG168" i="30"/>
  <c r="AE191" i="30"/>
  <c r="AE190" i="30"/>
  <c r="AE185" i="30"/>
  <c r="AE186" i="30"/>
  <c r="AE187" i="30"/>
  <c r="AE167" i="30"/>
  <c r="AE168" i="30"/>
  <c r="AE189" i="30"/>
  <c r="AE169" i="30"/>
  <c r="AE170" i="30"/>
  <c r="AE174" i="30"/>
  <c r="AE171" i="30"/>
  <c r="AE173" i="30"/>
  <c r="AE175" i="30"/>
  <c r="AE172" i="30"/>
  <c r="AE176" i="30"/>
  <c r="AH163" i="30"/>
  <c r="AH158" i="30"/>
  <c r="AH156" i="30"/>
  <c r="AH159" i="30"/>
  <c r="AH161" i="30"/>
  <c r="AH162" i="30"/>
  <c r="AH160" i="30"/>
  <c r="AE184" i="30"/>
  <c r="AE164" i="30" l="1"/>
  <c r="AE160" i="30"/>
  <c r="AE163" i="30"/>
  <c r="AE165" i="30"/>
  <c r="AG165" i="30"/>
  <c r="AG190" i="30"/>
  <c r="AG188" i="30"/>
  <c r="AE188" i="30"/>
  <c r="AL127" i="30"/>
  <c r="AL126" i="30" s="1"/>
  <c r="AN127" i="30"/>
  <c r="AN126" i="30" s="1"/>
  <c r="AC179" i="30" l="1"/>
  <c r="AC180" i="30"/>
  <c r="AC192" i="30"/>
  <c r="AC188" i="30"/>
  <c r="AC178" i="30"/>
  <c r="AC157" i="30"/>
  <c r="AC165" i="30"/>
  <c r="AC176" i="30"/>
  <c r="AC177" i="30"/>
  <c r="AC174" i="30"/>
  <c r="AC191" i="30"/>
  <c r="AC137" i="30"/>
  <c r="AC190" i="30"/>
  <c r="AC175" i="30"/>
  <c r="AC158" i="30"/>
  <c r="AC156" i="30"/>
  <c r="AC173" i="30"/>
  <c r="X50" i="30"/>
  <c r="X55" i="30"/>
  <c r="X56" i="30"/>
  <c r="X69" i="30"/>
  <c r="X135" i="30"/>
  <c r="X33" i="30" l="1"/>
  <c r="X49" i="30"/>
  <c r="AC164" i="30"/>
  <c r="AC159" i="30"/>
  <c r="AF159" i="30"/>
  <c r="AF156" i="30"/>
  <c r="AC162" i="30"/>
  <c r="AF162" i="30"/>
  <c r="AF161" i="30"/>
  <c r="AF167" i="30"/>
  <c r="AF190" i="30"/>
  <c r="AF189" i="30"/>
  <c r="AF173" i="30"/>
  <c r="AF170" i="30"/>
  <c r="AF185" i="30"/>
  <c r="AF171" i="30"/>
  <c r="AC160" i="30"/>
  <c r="AF160" i="30"/>
  <c r="AF158" i="30"/>
  <c r="AF187" i="30"/>
  <c r="AF174" i="30"/>
  <c r="AF186" i="30"/>
  <c r="AF169" i="30"/>
  <c r="AF191" i="30"/>
  <c r="AF168" i="30"/>
  <c r="AF184" i="30"/>
  <c r="AC163" i="30"/>
  <c r="AF163" i="30"/>
  <c r="AF172" i="30"/>
  <c r="AC136" i="30"/>
  <c r="M82" i="30" l="1"/>
  <c r="M83" i="30"/>
  <c r="M127" i="30"/>
  <c r="D127" i="30" l="1"/>
  <c r="G176" i="30"/>
  <c r="M176" i="30" s="1"/>
  <c r="H176" i="30"/>
  <c r="I176" i="30"/>
  <c r="AL155" i="30"/>
  <c r="AN155" i="30"/>
  <c r="AN154" i="30" s="1"/>
  <c r="AL156" i="30"/>
  <c r="AL157" i="30"/>
  <c r="AL158" i="30"/>
  <c r="AL159" i="30"/>
  <c r="AL160" i="30"/>
  <c r="AL161" i="30"/>
  <c r="AL162" i="30"/>
  <c r="AL163" i="30"/>
  <c r="AL189" i="30"/>
  <c r="AL167" i="30"/>
  <c r="AN167" i="30"/>
  <c r="AL168" i="30"/>
  <c r="AL169" i="30"/>
  <c r="AL170" i="30"/>
  <c r="AL171" i="30"/>
  <c r="AL172" i="30"/>
  <c r="AL173" i="30"/>
  <c r="AL174" i="30"/>
  <c r="AL175" i="30"/>
  <c r="AL176" i="30"/>
  <c r="AL183" i="30"/>
  <c r="AN183" i="30"/>
  <c r="AN182" i="30" s="1"/>
  <c r="AL184" i="30"/>
  <c r="AL191" i="30"/>
  <c r="AL185" i="30"/>
  <c r="AL186" i="30"/>
  <c r="AL187" i="30"/>
  <c r="AL190" i="30"/>
  <c r="AL182" i="30" l="1"/>
  <c r="AL154" i="30"/>
  <c r="AN166" i="30"/>
  <c r="AL166" i="30"/>
  <c r="D123" i="30"/>
  <c r="D191" i="30"/>
  <c r="D185" i="30"/>
  <c r="D186" i="30"/>
  <c r="D187" i="30"/>
  <c r="D190" i="30"/>
  <c r="D184" i="30"/>
  <c r="D167" i="30"/>
  <c r="D168" i="30"/>
  <c r="D169" i="30"/>
  <c r="D170" i="30"/>
  <c r="D171" i="30"/>
  <c r="D172" i="30"/>
  <c r="D173" i="30"/>
  <c r="D174" i="30"/>
  <c r="D175" i="30"/>
  <c r="D176" i="30"/>
  <c r="D189" i="30"/>
  <c r="D183" i="30" l="1"/>
  <c r="D155" i="30"/>
  <c r="AC184" i="30" l="1"/>
  <c r="AD184" i="30"/>
  <c r="AC187" i="30"/>
  <c r="AD187" i="30"/>
  <c r="AD173" i="30"/>
  <c r="AC169" i="30"/>
  <c r="AD169" i="30"/>
  <c r="AC168" i="30"/>
  <c r="AD168" i="30"/>
  <c r="AD175" i="30"/>
  <c r="AC167" i="30"/>
  <c r="AD167" i="30"/>
  <c r="AC189" i="30"/>
  <c r="AD189" i="30"/>
  <c r="AC171" i="30"/>
  <c r="AD171" i="30"/>
  <c r="AC172" i="30"/>
  <c r="AD174" i="30"/>
  <c r="AC170" i="30"/>
  <c r="AD170" i="30"/>
  <c r="AC186" i="30"/>
  <c r="AD186" i="30"/>
  <c r="AC185" i="30"/>
  <c r="AD185" i="30"/>
  <c r="H155" i="30"/>
  <c r="I155" i="30"/>
  <c r="G155" i="30"/>
  <c r="G186" i="30"/>
  <c r="M186" i="30" s="1"/>
  <c r="I186" i="30"/>
  <c r="G191" i="30"/>
  <c r="M191" i="30" s="1"/>
  <c r="H191" i="30"/>
  <c r="I191" i="30"/>
  <c r="H174" i="30"/>
  <c r="I174" i="30"/>
  <c r="G174" i="30"/>
  <c r="M174" i="30" s="1"/>
  <c r="H171" i="30"/>
  <c r="I171" i="30"/>
  <c r="G171" i="30"/>
  <c r="M171" i="30" s="1"/>
  <c r="G161" i="30"/>
  <c r="H161" i="30"/>
  <c r="I161" i="30"/>
  <c r="I190" i="30"/>
  <c r="G190" i="30"/>
  <c r="M190" i="30" s="1"/>
  <c r="H190" i="30"/>
  <c r="I184" i="30"/>
  <c r="G184" i="30"/>
  <c r="H184" i="30"/>
  <c r="G173" i="30"/>
  <c r="M173" i="30" s="1"/>
  <c r="H173" i="30"/>
  <c r="I173" i="30"/>
  <c r="G168" i="30"/>
  <c r="H168" i="30"/>
  <c r="I168" i="30"/>
  <c r="G163" i="30"/>
  <c r="M163" i="30" s="1"/>
  <c r="H163" i="30"/>
  <c r="I163" i="30"/>
  <c r="G160" i="30"/>
  <c r="M160" i="30" s="1"/>
  <c r="H160" i="30"/>
  <c r="I160" i="30"/>
  <c r="G157" i="30"/>
  <c r="H157" i="30"/>
  <c r="I157" i="30"/>
  <c r="H187" i="30"/>
  <c r="I187" i="30"/>
  <c r="G187" i="30"/>
  <c r="M187" i="30" s="1"/>
  <c r="H185" i="30"/>
  <c r="I185" i="30"/>
  <c r="G185" i="30"/>
  <c r="M185" i="30" s="1"/>
  <c r="H183" i="30"/>
  <c r="I183" i="30"/>
  <c r="G183" i="30"/>
  <c r="G170" i="30"/>
  <c r="M170" i="30" s="1"/>
  <c r="H170" i="30"/>
  <c r="I170" i="30"/>
  <c r="G167" i="30"/>
  <c r="M167" i="30" s="1"/>
  <c r="H167" i="30"/>
  <c r="I167" i="30"/>
  <c r="I159" i="30"/>
  <c r="G159" i="30"/>
  <c r="H159" i="30"/>
  <c r="I156" i="30"/>
  <c r="G156" i="30"/>
  <c r="H156" i="30"/>
  <c r="I175" i="30"/>
  <c r="G175" i="30"/>
  <c r="M175" i="30" s="1"/>
  <c r="H175" i="30"/>
  <c r="I172" i="30"/>
  <c r="G172" i="30"/>
  <c r="M172" i="30" s="1"/>
  <c r="H172" i="30"/>
  <c r="I169" i="30"/>
  <c r="G169" i="30"/>
  <c r="M169" i="30" s="1"/>
  <c r="H169" i="30"/>
  <c r="I189" i="30"/>
  <c r="G189" i="30"/>
  <c r="H189" i="30"/>
  <c r="H162" i="30"/>
  <c r="I162" i="30"/>
  <c r="G162" i="30"/>
  <c r="M162" i="30" s="1"/>
  <c r="H158" i="30"/>
  <c r="I158" i="30"/>
  <c r="G158" i="30"/>
  <c r="M158" i="30" s="1"/>
  <c r="AE162" i="30"/>
  <c r="AE159" i="30"/>
  <c r="AE156" i="30"/>
  <c r="AE158" i="30"/>
  <c r="M159" i="30" l="1"/>
  <c r="M161" i="30"/>
  <c r="G93" i="30" l="1"/>
  <c r="H93" i="30"/>
  <c r="I93" i="30"/>
  <c r="AL93" i="30"/>
  <c r="C45" i="34" l="1"/>
  <c r="D45" i="34" l="1"/>
  <c r="E45" i="34" s="1"/>
  <c r="F45" i="34" s="1"/>
  <c r="G45" i="34" s="1"/>
  <c r="H45" i="34" s="1"/>
  <c r="I45" i="34" s="1"/>
  <c r="J45" i="34" s="1"/>
  <c r="K45" i="34" s="1"/>
  <c r="L45" i="34" s="1"/>
  <c r="J157" i="30"/>
  <c r="AL82" i="30"/>
  <c r="AL83" i="30"/>
  <c r="M157" i="30" l="1"/>
  <c r="AA64" i="30" l="1"/>
  <c r="Z64" i="30"/>
  <c r="AB192" i="30"/>
  <c r="Z192" i="30"/>
  <c r="AB151" i="30"/>
  <c r="AB153" i="30"/>
  <c r="AB146" i="30"/>
  <c r="Z151" i="30"/>
  <c r="Z153" i="30"/>
  <c r="Z146" i="30"/>
  <c r="AB118" i="30"/>
  <c r="AB41" i="30"/>
  <c r="AB43" i="30"/>
  <c r="AB22" i="30"/>
  <c r="Z42" i="30"/>
  <c r="Z22" i="30"/>
  <c r="AB178" i="30"/>
  <c r="AA178" i="30"/>
  <c r="AB84" i="30"/>
  <c r="AB48" i="30"/>
  <c r="AB65" i="30"/>
  <c r="AB47" i="30"/>
  <c r="Z84" i="30"/>
  <c r="Z47" i="30"/>
  <c r="Z65" i="30"/>
  <c r="Z48" i="30"/>
  <c r="W116" i="30"/>
  <c r="AB20" i="30"/>
  <c r="AB141" i="30"/>
  <c r="AB140" i="30"/>
  <c r="AB147" i="30"/>
  <c r="AB148" i="30"/>
  <c r="AA102" i="30"/>
  <c r="Z58" i="30"/>
  <c r="Z39" i="30"/>
  <c r="AB39" i="30"/>
  <c r="AB58" i="30"/>
  <c r="V157" i="30"/>
  <c r="Z97" i="30"/>
  <c r="AA124" i="30"/>
  <c r="Z68" i="30"/>
  <c r="AB94" i="30"/>
  <c r="AB139" i="30"/>
  <c r="AB144" i="30"/>
  <c r="AB134" i="30"/>
  <c r="Z134" i="30"/>
  <c r="Z144" i="30"/>
  <c r="Z139" i="30"/>
  <c r="AB165" i="30"/>
  <c r="AB188" i="30"/>
  <c r="AB70" i="30"/>
  <c r="AA18" i="30"/>
  <c r="Z70" i="30"/>
  <c r="W112" i="30"/>
  <c r="Z69" i="30"/>
  <c r="X157" i="30"/>
  <c r="X160" i="30"/>
  <c r="X163" i="30"/>
  <c r="X168" i="30"/>
  <c r="AB69" i="30"/>
  <c r="X83" i="30"/>
  <c r="X156" i="30"/>
  <c r="X159" i="30"/>
  <c r="X167" i="30"/>
  <c r="X170" i="30"/>
  <c r="X176" i="30"/>
  <c r="X175" i="30"/>
  <c r="X191" i="30"/>
  <c r="W50" i="30"/>
  <c r="X93" i="30"/>
  <c r="X155" i="30"/>
  <c r="X158" i="30"/>
  <c r="X162" i="30"/>
  <c r="X189" i="30"/>
  <c r="X169" i="30"/>
  <c r="X172" i="30"/>
  <c r="X171" i="30"/>
  <c r="X174" i="30"/>
  <c r="X184" i="30"/>
  <c r="X185" i="30"/>
  <c r="X186" i="30"/>
  <c r="X82" i="30"/>
  <c r="X161" i="30"/>
  <c r="X173" i="30"/>
  <c r="X183" i="30"/>
  <c r="X190" i="30"/>
  <c r="X187" i="30"/>
  <c r="F51" i="34"/>
  <c r="G51" i="34" s="1"/>
  <c r="H51" i="34" s="1"/>
  <c r="I51" i="34" s="1"/>
  <c r="J51" i="34" s="1"/>
  <c r="K51" i="34" s="1"/>
  <c r="L51" i="34" s="1"/>
  <c r="I48" i="34"/>
  <c r="J48" i="34" s="1"/>
  <c r="K48" i="34" s="1"/>
  <c r="L48" i="34" s="1"/>
  <c r="D51" i="34"/>
  <c r="C51" i="34" s="1"/>
  <c r="J183" i="30" s="1"/>
  <c r="G48" i="34"/>
  <c r="F48" i="34" s="1"/>
  <c r="E48" i="34" s="1"/>
  <c r="D48" i="34" s="1"/>
  <c r="J155" i="30" s="1"/>
  <c r="AA181" i="30" l="1"/>
  <c r="Z181" i="30"/>
  <c r="W181" i="30"/>
  <c r="Y181" i="30"/>
  <c r="AB181" i="30"/>
  <c r="Z101" i="30"/>
  <c r="Z94" i="30"/>
  <c r="AB64" i="30"/>
  <c r="Y64" i="30"/>
  <c r="W64" i="30"/>
  <c r="AB68" i="30"/>
  <c r="AA141" i="30"/>
  <c r="Z141" i="30"/>
  <c r="AA140" i="30"/>
  <c r="Z140" i="30"/>
  <c r="AA105" i="30"/>
  <c r="Z105" i="30"/>
  <c r="AA104" i="30"/>
  <c r="Z104" i="30"/>
  <c r="W105" i="30"/>
  <c r="Y105" i="30"/>
  <c r="AB105" i="30"/>
  <c r="W104" i="30"/>
  <c r="Y104" i="30"/>
  <c r="AB104" i="30"/>
  <c r="AA69" i="30"/>
  <c r="AA147" i="30"/>
  <c r="Z147" i="30"/>
  <c r="AA20" i="30"/>
  <c r="Z20" i="30"/>
  <c r="AA180" i="30"/>
  <c r="Z180" i="30"/>
  <c r="AA179" i="30"/>
  <c r="Z179" i="30"/>
  <c r="W179" i="30"/>
  <c r="AB179" i="30"/>
  <c r="Y179" i="30"/>
  <c r="W180" i="30"/>
  <c r="Y180" i="30"/>
  <c r="AB180" i="30"/>
  <c r="AA59" i="30"/>
  <c r="Z59" i="30"/>
  <c r="AA133" i="30"/>
  <c r="Z133" i="30"/>
  <c r="AA108" i="30"/>
  <c r="Z108" i="30"/>
  <c r="W114" i="30"/>
  <c r="Y114" i="30"/>
  <c r="AB114" i="30"/>
  <c r="W108" i="30"/>
  <c r="Y108" i="30"/>
  <c r="AB108" i="30"/>
  <c r="W133" i="30"/>
  <c r="AB133" i="30"/>
  <c r="Y133" i="30"/>
  <c r="AA114" i="30"/>
  <c r="Z114" i="30"/>
  <c r="W59" i="30"/>
  <c r="AB59" i="30"/>
  <c r="Y59" i="30"/>
  <c r="W135" i="30"/>
  <c r="AB135" i="30"/>
  <c r="AA135" i="30"/>
  <c r="Z135" i="30"/>
  <c r="Y178" i="30"/>
  <c r="Y164" i="30"/>
  <c r="Z164" i="30"/>
  <c r="AA148" i="30"/>
  <c r="Z148" i="30"/>
  <c r="W192" i="30"/>
  <c r="AA103" i="30"/>
  <c r="Z103" i="30"/>
  <c r="AB145" i="30"/>
  <c r="AB152" i="30"/>
  <c r="AB150" i="30"/>
  <c r="AA132" i="30"/>
  <c r="Z132" i="30"/>
  <c r="W132" i="30"/>
  <c r="Y132" i="30"/>
  <c r="AB132" i="30"/>
  <c r="Z145" i="30"/>
  <c r="W55" i="30"/>
  <c r="Z152" i="30"/>
  <c r="W103" i="30"/>
  <c r="AB103" i="30"/>
  <c r="Y103" i="30"/>
  <c r="Z150" i="30"/>
  <c r="W56" i="30"/>
  <c r="Z21" i="30"/>
  <c r="AB42" i="30"/>
  <c r="AB40" i="30"/>
  <c r="Z117" i="30"/>
  <c r="Z40" i="30"/>
  <c r="AB88" i="30"/>
  <c r="AB21" i="30"/>
  <c r="AB117" i="30"/>
  <c r="W177" i="30"/>
  <c r="AB177" i="30"/>
  <c r="AA99" i="30"/>
  <c r="Z99" i="30"/>
  <c r="AA98" i="30"/>
  <c r="Z98" i="30"/>
  <c r="AA149" i="30"/>
  <c r="Z149" i="30"/>
  <c r="W99" i="30"/>
  <c r="AB99" i="30"/>
  <c r="Y99" i="30"/>
  <c r="W178" i="30"/>
  <c r="W98" i="30"/>
  <c r="AB98" i="30"/>
  <c r="Y98" i="30"/>
  <c r="Z178" i="30"/>
  <c r="W149" i="30"/>
  <c r="AB149" i="30"/>
  <c r="Y149" i="30"/>
  <c r="AA177" i="30"/>
  <c r="Z177" i="30"/>
  <c r="W84" i="30"/>
  <c r="Z124" i="30"/>
  <c r="W142" i="30"/>
  <c r="Y142" i="30"/>
  <c r="W143" i="30"/>
  <c r="Y143" i="30"/>
  <c r="Z116" i="30"/>
  <c r="AB116" i="30"/>
  <c r="Z102" i="30"/>
  <c r="W157" i="30"/>
  <c r="Y157" i="30"/>
  <c r="W156" i="30"/>
  <c r="Y156" i="30"/>
  <c r="W155" i="30"/>
  <c r="Y155" i="30"/>
  <c r="AB143" i="30"/>
  <c r="AA38" i="30"/>
  <c r="Z38" i="30"/>
  <c r="AB142" i="30"/>
  <c r="Z142" i="30"/>
  <c r="AA142" i="30"/>
  <c r="W38" i="30"/>
  <c r="Y38" i="30"/>
  <c r="AB38" i="30"/>
  <c r="AA143" i="30"/>
  <c r="Z143" i="30"/>
  <c r="W58" i="30"/>
  <c r="AA97" i="30"/>
  <c r="Y68" i="30"/>
  <c r="W68" i="30"/>
  <c r="Y97" i="30"/>
  <c r="AB97" i="30"/>
  <c r="W97" i="30"/>
  <c r="Y102" i="30"/>
  <c r="W102" i="30"/>
  <c r="AB102" i="30"/>
  <c r="W124" i="30"/>
  <c r="AB124" i="30"/>
  <c r="Y124" i="30"/>
  <c r="AB101" i="30"/>
  <c r="AA165" i="30"/>
  <c r="Z165" i="30"/>
  <c r="AB164" i="30"/>
  <c r="AA188" i="30"/>
  <c r="Z188" i="30"/>
  <c r="Y162" i="30"/>
  <c r="W162" i="30"/>
  <c r="Y188" i="30"/>
  <c r="W188" i="30"/>
  <c r="Y159" i="30"/>
  <c r="W159" i="30"/>
  <c r="Y161" i="30"/>
  <c r="W161" i="30"/>
  <c r="W165" i="30"/>
  <c r="Y165" i="30"/>
  <c r="Y158" i="30"/>
  <c r="W158" i="30"/>
  <c r="Y163" i="30"/>
  <c r="W163" i="30"/>
  <c r="Y160" i="30"/>
  <c r="W160" i="30"/>
  <c r="AA164" i="30"/>
  <c r="Z18" i="30"/>
  <c r="AA55" i="30"/>
  <c r="Z55" i="30"/>
  <c r="AB55" i="30"/>
  <c r="W164" i="30"/>
  <c r="Y177" i="30"/>
  <c r="W18" i="30"/>
  <c r="AB18" i="30"/>
  <c r="Y18" i="30"/>
  <c r="AB112" i="30"/>
  <c r="M155" i="30"/>
  <c r="M183" i="30"/>
  <c r="X127" i="30"/>
  <c r="Y127" i="30"/>
  <c r="AB127" i="30"/>
  <c r="AA127" i="30"/>
  <c r="Z127" i="30"/>
  <c r="Y187" i="30"/>
  <c r="W187" i="30"/>
  <c r="AB187" i="30"/>
  <c r="AB162" i="30"/>
  <c r="Y191" i="30"/>
  <c r="W191" i="30"/>
  <c r="AB191" i="30"/>
  <c r="W69" i="30"/>
  <c r="Y69" i="30"/>
  <c r="AB161" i="30"/>
  <c r="Y173" i="30"/>
  <c r="W173" i="30"/>
  <c r="AB173" i="30"/>
  <c r="Y176" i="30"/>
  <c r="W176" i="30"/>
  <c r="AB176" i="30"/>
  <c r="W110" i="30"/>
  <c r="AB160" i="30"/>
  <c r="W33" i="30"/>
  <c r="Y33" i="30"/>
  <c r="Y184" i="30"/>
  <c r="W184" i="30"/>
  <c r="AB184" i="30"/>
  <c r="Y172" i="30"/>
  <c r="W172" i="30"/>
  <c r="AB172" i="30"/>
  <c r="AB158" i="30"/>
  <c r="Y135" i="30"/>
  <c r="W93" i="30"/>
  <c r="Y93" i="30"/>
  <c r="AB93" i="30"/>
  <c r="Y175" i="30"/>
  <c r="W175" i="30"/>
  <c r="AB175" i="30"/>
  <c r="AB159" i="30"/>
  <c r="AB157" i="30"/>
  <c r="AB156" i="30"/>
  <c r="Y168" i="30"/>
  <c r="W168" i="30"/>
  <c r="AB168" i="30"/>
  <c r="W49" i="30"/>
  <c r="Y49" i="30"/>
  <c r="AA187" i="30"/>
  <c r="Z187" i="30"/>
  <c r="Y190" i="30"/>
  <c r="W190" i="30"/>
  <c r="AB190" i="30"/>
  <c r="Y186" i="30"/>
  <c r="W186" i="30"/>
  <c r="AB186" i="30"/>
  <c r="Y174" i="30"/>
  <c r="W174" i="30"/>
  <c r="AB174" i="30"/>
  <c r="Y169" i="30"/>
  <c r="W169" i="30"/>
  <c r="AB169" i="30"/>
  <c r="AB155" i="30"/>
  <c r="Y170" i="30"/>
  <c r="W170" i="30"/>
  <c r="AB170" i="30"/>
  <c r="Y183" i="30"/>
  <c r="W183" i="30"/>
  <c r="AB183" i="30"/>
  <c r="W82" i="30"/>
  <c r="Y82" i="30"/>
  <c r="AB82" i="30"/>
  <c r="Y185" i="30"/>
  <c r="W185" i="30"/>
  <c r="AB185" i="30"/>
  <c r="Y171" i="30"/>
  <c r="W171" i="30"/>
  <c r="AB171" i="30"/>
  <c r="Y189" i="30"/>
  <c r="W189" i="30"/>
  <c r="AB189" i="30"/>
  <c r="Y50" i="30"/>
  <c r="AK50" i="30" s="1"/>
  <c r="Y167" i="30"/>
  <c r="W167" i="30"/>
  <c r="AB167" i="30"/>
  <c r="W83" i="30"/>
  <c r="Y83" i="30"/>
  <c r="AB83" i="30"/>
  <c r="AB163" i="30"/>
  <c r="AA186" i="30"/>
  <c r="Z186" i="30"/>
  <c r="AA190" i="30"/>
  <c r="Z190" i="30"/>
  <c r="K49" i="34"/>
  <c r="J49" i="34" s="1"/>
  <c r="I49" i="34" s="1"/>
  <c r="H49" i="34" s="1"/>
  <c r="G49" i="34" s="1"/>
  <c r="J22" i="30" s="1"/>
  <c r="V22" i="30" s="1"/>
  <c r="AA150" i="30" l="1"/>
  <c r="AA151" i="30"/>
  <c r="Y150" i="30"/>
  <c r="Y151" i="30"/>
  <c r="W141" i="30"/>
  <c r="AA145" i="30"/>
  <c r="AA146" i="30"/>
  <c r="Y21" i="30"/>
  <c r="Y22" i="30"/>
  <c r="Y152" i="30"/>
  <c r="Y153" i="30"/>
  <c r="AK181" i="30"/>
  <c r="AA21" i="30"/>
  <c r="AA22" i="30"/>
  <c r="W140" i="30"/>
  <c r="AA152" i="30"/>
  <c r="AA153" i="30"/>
  <c r="Y145" i="30"/>
  <c r="Y146" i="30"/>
  <c r="W147" i="30"/>
  <c r="Y117" i="30"/>
  <c r="Y118" i="30"/>
  <c r="AA117" i="30"/>
  <c r="Y40" i="30"/>
  <c r="Y41" i="30"/>
  <c r="W101" i="30"/>
  <c r="W94" i="30"/>
  <c r="W47" i="30"/>
  <c r="Y101" i="30"/>
  <c r="Y94" i="30"/>
  <c r="AA40" i="30"/>
  <c r="AA41" i="30"/>
  <c r="AA101" i="30"/>
  <c r="AA94" i="30"/>
  <c r="Y42" i="30"/>
  <c r="Y43" i="30"/>
  <c r="AA42" i="30"/>
  <c r="AA43" i="30"/>
  <c r="W48" i="30"/>
  <c r="W39" i="30"/>
  <c r="AP50" i="30"/>
  <c r="W20" i="30"/>
  <c r="W65" i="30"/>
  <c r="Y140" i="30"/>
  <c r="Y141" i="30"/>
  <c r="Y192" i="30"/>
  <c r="AA192" i="30"/>
  <c r="J21" i="30"/>
  <c r="V21" i="30" s="1"/>
  <c r="J20" i="30"/>
  <c r="V20" i="30" s="1"/>
  <c r="AA65" i="30"/>
  <c r="W148" i="30"/>
  <c r="Y65" i="30"/>
  <c r="W144" i="30"/>
  <c r="Y48" i="30"/>
  <c r="AA48" i="30"/>
  <c r="W134" i="30"/>
  <c r="Y84" i="30"/>
  <c r="Y47" i="30"/>
  <c r="W70" i="30"/>
  <c r="Y147" i="30"/>
  <c r="AA47" i="30"/>
  <c r="AA84" i="30"/>
  <c r="W139" i="30"/>
  <c r="Y39" i="30"/>
  <c r="AA39" i="30"/>
  <c r="Y20" i="30"/>
  <c r="Y58" i="30"/>
  <c r="AK114" i="30"/>
  <c r="AA58" i="30"/>
  <c r="AK59" i="30"/>
  <c r="AK108" i="30"/>
  <c r="Y70" i="30"/>
  <c r="AA70" i="30"/>
  <c r="Y139" i="30"/>
  <c r="Y148" i="30"/>
  <c r="AA134" i="30"/>
  <c r="AA139" i="30"/>
  <c r="Y134" i="30"/>
  <c r="AA68" i="30"/>
  <c r="AA144" i="30"/>
  <c r="Y144" i="30"/>
  <c r="J19" i="30"/>
  <c r="AA116" i="30"/>
  <c r="Y116" i="30"/>
  <c r="AK38" i="30"/>
  <c r="V155" i="30"/>
  <c r="Y112" i="30"/>
  <c r="Y55" i="30"/>
  <c r="V183" i="30"/>
  <c r="F49" i="34"/>
  <c r="E49" i="34" s="1"/>
  <c r="D49" i="34" s="1"/>
  <c r="C49" i="34" s="1"/>
  <c r="W127" i="30"/>
  <c r="C53" i="34"/>
  <c r="AK22" i="30" l="1"/>
  <c r="AP22" i="30" s="1"/>
  <c r="AK21" i="30"/>
  <c r="AP21" i="30" s="1"/>
  <c r="AP181" i="30"/>
  <c r="AK117" i="30"/>
  <c r="AK40" i="30"/>
  <c r="AK118" i="30"/>
  <c r="AP118" i="30" s="1"/>
  <c r="AK41" i="30"/>
  <c r="AK43" i="30"/>
  <c r="AK94" i="30"/>
  <c r="AK42" i="30"/>
  <c r="AK20" i="30"/>
  <c r="AP20" i="30" s="1"/>
  <c r="J180" i="30"/>
  <c r="J179" i="30"/>
  <c r="AK65" i="30"/>
  <c r="AP65" i="30" s="1"/>
  <c r="AK39" i="30"/>
  <c r="AP39" i="30" s="1"/>
  <c r="AP38" i="30"/>
  <c r="AP114" i="30"/>
  <c r="AP108" i="30"/>
  <c r="AP59" i="30"/>
  <c r="J165" i="30"/>
  <c r="J178" i="30"/>
  <c r="V178" i="30" s="1"/>
  <c r="J190" i="30"/>
  <c r="AK116" i="30"/>
  <c r="J164" i="30"/>
  <c r="V164" i="30" s="1"/>
  <c r="J177" i="30"/>
  <c r="J156" i="30"/>
  <c r="J160" i="30"/>
  <c r="J163" i="30"/>
  <c r="J159" i="30"/>
  <c r="J158" i="30"/>
  <c r="J162" i="30"/>
  <c r="D53" i="34"/>
  <c r="J176" i="30"/>
  <c r="J171" i="30"/>
  <c r="J167" i="30"/>
  <c r="J169" i="30"/>
  <c r="J172" i="30"/>
  <c r="J175" i="30"/>
  <c r="J168" i="30"/>
  <c r="J174" i="30"/>
  <c r="J173" i="30"/>
  <c r="J170" i="30"/>
  <c r="AP40" i="30" l="1"/>
  <c r="V179" i="30"/>
  <c r="V180" i="30"/>
  <c r="AP41" i="30"/>
  <c r="AP117" i="30"/>
  <c r="J192" i="30"/>
  <c r="V192" i="30" s="1"/>
  <c r="AP43" i="30"/>
  <c r="AP42" i="30"/>
  <c r="AP94" i="30"/>
  <c r="M168" i="30"/>
  <c r="AK178" i="30"/>
  <c r="V165" i="30"/>
  <c r="AK164" i="30"/>
  <c r="AP116" i="30"/>
  <c r="V158" i="30"/>
  <c r="V172" i="30"/>
  <c r="V159" i="30"/>
  <c r="V177" i="30"/>
  <c r="AK177" i="30" s="1"/>
  <c r="J188" i="30"/>
  <c r="J189" i="30"/>
  <c r="V162" i="30"/>
  <c r="V163" i="30"/>
  <c r="M156" i="30"/>
  <c r="V161" i="30"/>
  <c r="V160" i="30"/>
  <c r="V167" i="30"/>
  <c r="V171" i="30"/>
  <c r="V175" i="30"/>
  <c r="V170" i="30"/>
  <c r="V176" i="30"/>
  <c r="V174" i="30"/>
  <c r="V173" i="30"/>
  <c r="V169" i="30"/>
  <c r="E53" i="34"/>
  <c r="F53" i="34" s="1"/>
  <c r="G53" i="34" s="1"/>
  <c r="H53" i="34" s="1"/>
  <c r="I53" i="34" s="1"/>
  <c r="J53" i="34" s="1"/>
  <c r="K53" i="34" s="1"/>
  <c r="L53" i="34" s="1"/>
  <c r="J184" i="30"/>
  <c r="J187" i="30"/>
  <c r="J185" i="30"/>
  <c r="V190" i="30"/>
  <c r="J191" i="30"/>
  <c r="J186" i="30"/>
  <c r="AL100" i="30"/>
  <c r="AL96" i="30"/>
  <c r="AK180" i="30" l="1"/>
  <c r="AK179" i="30"/>
  <c r="AK192" i="30"/>
  <c r="V168" i="30"/>
  <c r="AP164" i="30"/>
  <c r="AP178" i="30"/>
  <c r="AK165" i="30"/>
  <c r="V191" i="30"/>
  <c r="M189" i="30"/>
  <c r="V188" i="30"/>
  <c r="AP177" i="30"/>
  <c r="V156" i="30"/>
  <c r="V185" i="30"/>
  <c r="V187" i="30"/>
  <c r="V186" i="30"/>
  <c r="M184" i="30"/>
  <c r="AP179" i="30" l="1"/>
  <c r="AP180" i="30"/>
  <c r="AP192" i="30"/>
  <c r="AP165" i="30"/>
  <c r="V189" i="30"/>
  <c r="AK188" i="30"/>
  <c r="V184" i="30"/>
  <c r="AK186" i="30"/>
  <c r="AK190" i="30"/>
  <c r="AK187" i="30"/>
  <c r="AP188" i="30" l="1"/>
  <c r="G129" i="30" l="1"/>
  <c r="M129" i="30" s="1"/>
  <c r="H129" i="30"/>
  <c r="I129" i="30"/>
  <c r="AL129" i="30"/>
  <c r="AL128" i="30" s="1"/>
  <c r="AN129" i="30"/>
  <c r="AN128" i="30" s="1"/>
  <c r="G136" i="30"/>
  <c r="H136" i="30"/>
  <c r="I136" i="30"/>
  <c r="AL136" i="30"/>
  <c r="AN136" i="30"/>
  <c r="G131" i="30"/>
  <c r="M131" i="30" s="1"/>
  <c r="H131" i="30"/>
  <c r="I131" i="30"/>
  <c r="AL131" i="30"/>
  <c r="AN131" i="30"/>
  <c r="G137" i="30"/>
  <c r="M137" i="30" s="1"/>
  <c r="H137" i="30"/>
  <c r="I137" i="30"/>
  <c r="AL137" i="30"/>
  <c r="AN137" i="30"/>
  <c r="G138" i="30"/>
  <c r="M138" i="30" s="1"/>
  <c r="H138" i="30"/>
  <c r="I138" i="30"/>
  <c r="AL138" i="30"/>
  <c r="AN138" i="30"/>
  <c r="AN130" i="30" l="1"/>
  <c r="AL130" i="30"/>
  <c r="D129" i="30"/>
  <c r="H13" i="30" l="1"/>
  <c r="I14" i="30"/>
  <c r="G15" i="30"/>
  <c r="G16" i="30"/>
  <c r="M16" i="30" s="1"/>
  <c r="H17" i="30"/>
  <c r="G19" i="30"/>
  <c r="M19" i="30" s="1"/>
  <c r="H25" i="30"/>
  <c r="I27" i="30"/>
  <c r="G28" i="30"/>
  <c r="G29" i="30"/>
  <c r="H30" i="30"/>
  <c r="I31" i="30"/>
  <c r="G32" i="30"/>
  <c r="M32" i="30" s="1"/>
  <c r="H33" i="30"/>
  <c r="I35" i="30"/>
  <c r="G36" i="30"/>
  <c r="M36" i="30" s="1"/>
  <c r="G37" i="30"/>
  <c r="M37" i="30" s="1"/>
  <c r="H45" i="30"/>
  <c r="I46" i="30"/>
  <c r="I52" i="30"/>
  <c r="G53" i="30"/>
  <c r="G54" i="30"/>
  <c r="M54" i="30" s="1"/>
  <c r="H61" i="30"/>
  <c r="I62" i="30"/>
  <c r="G63" i="30"/>
  <c r="M63" i="30" s="1"/>
  <c r="H66" i="30"/>
  <c r="I67" i="30"/>
  <c r="G72" i="30"/>
  <c r="M72" i="30" s="1"/>
  <c r="H75" i="30"/>
  <c r="I23" i="30"/>
  <c r="G77" i="30"/>
  <c r="G78" i="30"/>
  <c r="H115" i="30"/>
  <c r="I79" i="30"/>
  <c r="G80" i="30"/>
  <c r="M80" i="30" s="1"/>
  <c r="I81" i="30"/>
  <c r="G86" i="30"/>
  <c r="G87" i="30"/>
  <c r="H88" i="30"/>
  <c r="I90" i="30"/>
  <c r="G91" i="30"/>
  <c r="G92" i="30"/>
  <c r="H95" i="30"/>
  <c r="I96" i="30"/>
  <c r="H100" i="30"/>
  <c r="I107" i="30"/>
  <c r="G109" i="30"/>
  <c r="G110" i="30"/>
  <c r="M110" i="30" s="1"/>
  <c r="H113" i="30"/>
  <c r="I120" i="30"/>
  <c r="G121" i="30"/>
  <c r="M121" i="30" s="1"/>
  <c r="G123" i="30"/>
  <c r="G11" i="30"/>
  <c r="G10" i="30"/>
  <c r="V110" i="30" l="1"/>
  <c r="V19" i="30"/>
  <c r="I121" i="30"/>
  <c r="H120" i="30"/>
  <c r="G113" i="30"/>
  <c r="M113" i="30" s="1"/>
  <c r="I109" i="30"/>
  <c r="H107" i="30"/>
  <c r="G100" i="30"/>
  <c r="M100" i="30" s="1"/>
  <c r="H96" i="30"/>
  <c r="G95" i="30"/>
  <c r="M95" i="30" s="1"/>
  <c r="I91" i="30"/>
  <c r="H90" i="30"/>
  <c r="G88" i="30"/>
  <c r="M88" i="30" s="1"/>
  <c r="I86" i="30"/>
  <c r="H81" i="30"/>
  <c r="I80" i="30"/>
  <c r="H79" i="30"/>
  <c r="G115" i="30"/>
  <c r="M115" i="30" s="1"/>
  <c r="I77" i="30"/>
  <c r="H23" i="30"/>
  <c r="G75" i="30"/>
  <c r="H67" i="30"/>
  <c r="G66" i="30"/>
  <c r="M66" i="30" s="1"/>
  <c r="I63" i="30"/>
  <c r="H62" i="30"/>
  <c r="G61" i="30"/>
  <c r="M61" i="30" s="1"/>
  <c r="I53" i="30"/>
  <c r="H52" i="30"/>
  <c r="H46" i="30"/>
  <c r="G45" i="30"/>
  <c r="M45" i="30" s="1"/>
  <c r="I36" i="30"/>
  <c r="H35" i="30"/>
  <c r="G33" i="30"/>
  <c r="M33" i="30" s="1"/>
  <c r="I32" i="30"/>
  <c r="H31" i="30"/>
  <c r="G30" i="30"/>
  <c r="M30" i="30" s="1"/>
  <c r="I28" i="30"/>
  <c r="H27" i="30"/>
  <c r="G25" i="30"/>
  <c r="M25" i="30" s="1"/>
  <c r="I19" i="30"/>
  <c r="G17" i="30"/>
  <c r="M17" i="30" s="1"/>
  <c r="I15" i="30"/>
  <c r="H14" i="30"/>
  <c r="G13" i="30"/>
  <c r="I123" i="30"/>
  <c r="H121" i="30"/>
  <c r="G120" i="30"/>
  <c r="M120" i="30" s="1"/>
  <c r="I110" i="30"/>
  <c r="H109" i="30"/>
  <c r="G107" i="30"/>
  <c r="G96" i="30"/>
  <c r="M96" i="30" s="1"/>
  <c r="I92" i="30"/>
  <c r="H91" i="30"/>
  <c r="G90" i="30"/>
  <c r="I87" i="30"/>
  <c r="H86" i="30"/>
  <c r="G81" i="30"/>
  <c r="M81" i="30" s="1"/>
  <c r="H80" i="30"/>
  <c r="G79" i="30"/>
  <c r="M79" i="30" s="1"/>
  <c r="I78" i="30"/>
  <c r="H77" i="30"/>
  <c r="G23" i="30"/>
  <c r="M23" i="30" s="1"/>
  <c r="I72" i="30"/>
  <c r="G67" i="30"/>
  <c r="H63" i="30"/>
  <c r="G62" i="30"/>
  <c r="M62" i="30" s="1"/>
  <c r="I54" i="30"/>
  <c r="H53" i="30"/>
  <c r="G52" i="30"/>
  <c r="G46" i="30"/>
  <c r="I37" i="30"/>
  <c r="H36" i="30"/>
  <c r="M35" i="30"/>
  <c r="H32" i="30"/>
  <c r="G31" i="30"/>
  <c r="M31" i="30" s="1"/>
  <c r="I29" i="30"/>
  <c r="H28" i="30"/>
  <c r="G27" i="30"/>
  <c r="H19" i="30"/>
  <c r="I16" i="30"/>
  <c r="H15" i="30"/>
  <c r="G14" i="30"/>
  <c r="I11" i="30"/>
  <c r="H123" i="30"/>
  <c r="I113" i="30"/>
  <c r="H110" i="30"/>
  <c r="I100" i="30"/>
  <c r="I95" i="30"/>
  <c r="H92" i="30"/>
  <c r="I88" i="30"/>
  <c r="H87" i="30"/>
  <c r="I115" i="30"/>
  <c r="H78" i="30"/>
  <c r="I75" i="30"/>
  <c r="H72" i="30"/>
  <c r="I66" i="30"/>
  <c r="I61" i="30"/>
  <c r="H54" i="30"/>
  <c r="I45" i="30"/>
  <c r="H37" i="30"/>
  <c r="I33" i="30"/>
  <c r="I30" i="30"/>
  <c r="H29" i="30"/>
  <c r="I25" i="30"/>
  <c r="I17" i="30"/>
  <c r="H16" i="30"/>
  <c r="I13" i="30"/>
  <c r="H11" i="30"/>
  <c r="H10" i="30"/>
  <c r="I10" i="30"/>
  <c r="AL81" i="30"/>
  <c r="AN11" i="30"/>
  <c r="AN13" i="30"/>
  <c r="AN14" i="30"/>
  <c r="AN15" i="30"/>
  <c r="AN16" i="30"/>
  <c r="AN17" i="30"/>
  <c r="AN19" i="30"/>
  <c r="AN25" i="30"/>
  <c r="AN24" i="30" s="1"/>
  <c r="AN27" i="30"/>
  <c r="AN26" i="30" s="1"/>
  <c r="AN35" i="30"/>
  <c r="AN45" i="30"/>
  <c r="AN44" i="30" s="1"/>
  <c r="AN52" i="30"/>
  <c r="AN51" i="30" s="1"/>
  <c r="AN61" i="30"/>
  <c r="AN60" i="30" s="1"/>
  <c r="AN72" i="30"/>
  <c r="AN71" i="30" s="1"/>
  <c r="AN75" i="30"/>
  <c r="AN74" i="30" s="1"/>
  <c r="AN23" i="30"/>
  <c r="AN77" i="30"/>
  <c r="AN76" i="30" s="1"/>
  <c r="AN86" i="30"/>
  <c r="AN87" i="30"/>
  <c r="AN88" i="30"/>
  <c r="AN90" i="30"/>
  <c r="AN89" i="30" s="1"/>
  <c r="AN107" i="30"/>
  <c r="AN106" i="30" s="1"/>
  <c r="AN120" i="30"/>
  <c r="AN119" i="30" s="1"/>
  <c r="AN123" i="30"/>
  <c r="AN122" i="30" s="1"/>
  <c r="W17" i="30"/>
  <c r="W19" i="30"/>
  <c r="W28" i="30"/>
  <c r="X81" i="30"/>
  <c r="Y81" i="30"/>
  <c r="AB81" i="30"/>
  <c r="AN10" i="30"/>
  <c r="AN9" i="30" l="1"/>
  <c r="AN85" i="30"/>
  <c r="AN34" i="30"/>
  <c r="AN12" i="30"/>
  <c r="M67" i="30"/>
  <c r="W81" i="30" l="1"/>
  <c r="X96" i="30"/>
  <c r="X100" i="30"/>
  <c r="Z52" i="30" l="1"/>
  <c r="Z15" i="30"/>
  <c r="Z10" i="30"/>
  <c r="Z161" i="30"/>
  <c r="Z95" i="30"/>
  <c r="Z80" i="30"/>
  <c r="Z77" i="30"/>
  <c r="Z14" i="30"/>
  <c r="Z158" i="30"/>
  <c r="Z78" i="30"/>
  <c r="Z19" i="30"/>
  <c r="Z11" i="30"/>
  <c r="Z160" i="30"/>
  <c r="Z157" i="30"/>
  <c r="Z92" i="30"/>
  <c r="Z88" i="30"/>
  <c r="Z79" i="30"/>
  <c r="Z63" i="30"/>
  <c r="Z54" i="30"/>
  <c r="Z45" i="30"/>
  <c r="Z35" i="30"/>
  <c r="Z32" i="30"/>
  <c r="Z28" i="30"/>
  <c r="Z17" i="30"/>
  <c r="Z13" i="30"/>
  <c r="Z155" i="30"/>
  <c r="Z159" i="30"/>
  <c r="Z156" i="30"/>
  <c r="Z113" i="30"/>
  <c r="Z107" i="30"/>
  <c r="Z91" i="30"/>
  <c r="Z115" i="30"/>
  <c r="Z67" i="30"/>
  <c r="Z53" i="30"/>
  <c r="Z16" i="30"/>
  <c r="X129" i="30"/>
  <c r="X136" i="30"/>
  <c r="X131" i="30"/>
  <c r="X137" i="30"/>
  <c r="X138" i="30"/>
  <c r="Z27" i="30" l="1"/>
  <c r="Z31" i="30"/>
  <c r="Z37" i="30"/>
  <c r="Z123" i="30"/>
  <c r="Z36" i="30"/>
  <c r="Z100" i="30"/>
  <c r="Z72" i="30"/>
  <c r="AA175" i="30"/>
  <c r="Z175" i="30"/>
  <c r="AA170" i="30"/>
  <c r="Z170" i="30"/>
  <c r="Z23" i="30"/>
  <c r="AA189" i="30"/>
  <c r="Z189" i="30"/>
  <c r="AA184" i="30"/>
  <c r="Z184" i="30"/>
  <c r="Z61" i="30"/>
  <c r="AA171" i="30"/>
  <c r="Z171" i="30"/>
  <c r="Z81" i="30"/>
  <c r="Z82" i="30"/>
  <c r="Z109" i="30"/>
  <c r="AA174" i="30"/>
  <c r="Z174" i="30"/>
  <c r="Z25" i="30"/>
  <c r="Z46" i="30"/>
  <c r="AA83" i="30"/>
  <c r="Z83" i="30"/>
  <c r="Z110" i="30"/>
  <c r="AA173" i="30"/>
  <c r="Z173" i="30"/>
  <c r="Z66" i="30"/>
  <c r="Z62" i="30"/>
  <c r="Z93" i="30"/>
  <c r="AA169" i="30"/>
  <c r="Z169" i="30"/>
  <c r="AA183" i="30"/>
  <c r="Z183" i="30"/>
  <c r="AA163" i="30"/>
  <c r="Z163" i="30"/>
  <c r="AA176" i="30"/>
  <c r="Z176" i="30"/>
  <c r="Z30" i="30"/>
  <c r="Z90" i="30"/>
  <c r="AA185" i="30"/>
  <c r="Z185" i="30"/>
  <c r="Z29" i="30"/>
  <c r="Z75" i="30"/>
  <c r="Z120" i="30"/>
  <c r="Z33" i="30"/>
  <c r="Z96" i="30"/>
  <c r="AA172" i="30"/>
  <c r="Z172" i="30"/>
  <c r="AA167" i="30"/>
  <c r="Z167" i="30"/>
  <c r="AA191" i="30"/>
  <c r="Z191" i="30"/>
  <c r="AA162" i="30"/>
  <c r="Z162" i="30"/>
  <c r="AA168" i="30"/>
  <c r="Z168" i="30"/>
  <c r="Z121" i="30"/>
  <c r="AA129" i="30"/>
  <c r="Z129" i="30"/>
  <c r="Z137" i="30"/>
  <c r="Z136" i="30"/>
  <c r="Z86" i="30"/>
  <c r="Z138" i="30"/>
  <c r="Z87" i="30"/>
  <c r="Z131" i="30"/>
  <c r="AA14" i="30"/>
  <c r="AA77" i="30"/>
  <c r="AA52" i="30"/>
  <c r="AA37" i="30"/>
  <c r="AA17" i="30"/>
  <c r="AA79" i="30"/>
  <c r="AA11" i="30"/>
  <c r="AA80" i="30"/>
  <c r="AA10" i="30"/>
  <c r="AA72" i="30"/>
  <c r="AA13" i="30"/>
  <c r="AA53" i="30"/>
  <c r="AA23" i="30"/>
  <c r="AA109" i="30"/>
  <c r="AA19" i="30"/>
  <c r="AA78" i="30"/>
  <c r="AA25" i="30"/>
  <c r="AA46" i="30"/>
  <c r="AA15" i="30"/>
  <c r="AA107" i="30"/>
  <c r="AA54" i="30"/>
  <c r="AA123" i="30"/>
  <c r="AA16" i="30"/>
  <c r="AA115" i="30"/>
  <c r="AA88" i="30"/>
  <c r="AA30" i="30"/>
  <c r="AA75" i="30"/>
  <c r="AA120" i="30"/>
  <c r="AA33" i="30"/>
  <c r="AA96" i="30"/>
  <c r="AK191" i="30" l="1"/>
  <c r="AK172" i="30"/>
  <c r="AK176" i="30"/>
  <c r="AK173" i="30"/>
  <c r="AK170" i="30"/>
  <c r="AK175" i="30"/>
  <c r="AK168" i="30"/>
  <c r="AK162" i="30"/>
  <c r="AK185" i="30"/>
  <c r="AK167" i="30"/>
  <c r="AK171" i="30"/>
  <c r="AK183" i="30"/>
  <c r="AK169" i="30"/>
  <c r="AK184" i="30"/>
  <c r="AK163" i="30"/>
  <c r="AK174" i="30"/>
  <c r="AK189" i="30"/>
  <c r="AA91" i="30"/>
  <c r="AA29" i="30"/>
  <c r="AA62" i="30"/>
  <c r="AA110" i="30"/>
  <c r="AA86" i="30"/>
  <c r="AA45" i="30"/>
  <c r="AA95" i="30"/>
  <c r="AA35" i="30"/>
  <c r="AA32" i="30"/>
  <c r="AA36" i="30"/>
  <c r="AA131" i="30"/>
  <c r="AA157" i="30"/>
  <c r="AA138" i="30"/>
  <c r="AA160" i="30"/>
  <c r="AA137" i="30"/>
  <c r="AA159" i="30"/>
  <c r="AA161" i="30"/>
  <c r="AA156" i="30"/>
  <c r="AA67" i="30"/>
  <c r="AA100" i="30"/>
  <c r="AA27" i="30"/>
  <c r="AA90" i="30"/>
  <c r="AA28" i="30"/>
  <c r="AA93" i="30"/>
  <c r="AA81" i="30"/>
  <c r="AA82" i="30"/>
  <c r="AA61" i="30"/>
  <c r="AA31" i="30"/>
  <c r="AA66" i="30"/>
  <c r="AA63" i="30"/>
  <c r="AA113" i="30"/>
  <c r="AA121" i="30"/>
  <c r="AA92" i="30"/>
  <c r="AA87" i="30"/>
  <c r="AA136" i="30"/>
  <c r="AA155" i="30"/>
  <c r="AA158" i="30"/>
  <c r="D100" i="30"/>
  <c r="D96" i="30"/>
  <c r="AK166" i="30" l="1"/>
  <c r="AK182" i="30"/>
  <c r="AP183" i="30"/>
  <c r="AK157" i="30"/>
  <c r="AP162" i="30"/>
  <c r="AK155" i="30"/>
  <c r="AP163" i="30"/>
  <c r="AP170" i="30"/>
  <c r="AK159" i="30"/>
  <c r="AK156" i="30"/>
  <c r="AK160" i="30"/>
  <c r="AK158" i="30"/>
  <c r="AK161" i="30"/>
  <c r="C121" i="34"/>
  <c r="D121" i="34" s="1"/>
  <c r="E121" i="34" s="1"/>
  <c r="F121" i="34" s="1"/>
  <c r="G121" i="34" s="1"/>
  <c r="H121" i="34" s="1"/>
  <c r="I121" i="34" s="1"/>
  <c r="J121" i="34" s="1"/>
  <c r="K121" i="34" s="1"/>
  <c r="L121" i="34" s="1"/>
  <c r="A121" i="34"/>
  <c r="C120" i="34"/>
  <c r="D120" i="34" s="1"/>
  <c r="E120" i="34" s="1"/>
  <c r="F120" i="34" s="1"/>
  <c r="G120" i="34" s="1"/>
  <c r="H120" i="34" s="1"/>
  <c r="I120" i="34" s="1"/>
  <c r="J120" i="34" s="1"/>
  <c r="K120" i="34" s="1"/>
  <c r="L120" i="34" s="1"/>
  <c r="C118" i="34"/>
  <c r="D118" i="34" s="1"/>
  <c r="E118" i="34" s="1"/>
  <c r="F118" i="34" s="1"/>
  <c r="G118" i="34" s="1"/>
  <c r="H118" i="34" s="1"/>
  <c r="I118" i="34" s="1"/>
  <c r="J118" i="34" s="1"/>
  <c r="K118" i="34" s="1"/>
  <c r="L118" i="34" s="1"/>
  <c r="A118" i="34"/>
  <c r="F117" i="34"/>
  <c r="G117" i="34" s="1"/>
  <c r="H117" i="34" s="1"/>
  <c r="I117" i="34" s="1"/>
  <c r="J117" i="34" s="1"/>
  <c r="K117" i="34" s="1"/>
  <c r="L117" i="34" s="1"/>
  <c r="C114" i="34"/>
  <c r="D114" i="34" s="1"/>
  <c r="E114" i="34" s="1"/>
  <c r="F114" i="34" s="1"/>
  <c r="G114" i="34" s="1"/>
  <c r="H114" i="34" s="1"/>
  <c r="I114" i="34" s="1"/>
  <c r="J114" i="34" s="1"/>
  <c r="K114" i="34" s="1"/>
  <c r="L114" i="34" s="1"/>
  <c r="A114" i="34"/>
  <c r="C113" i="34"/>
  <c r="D113" i="34" s="1"/>
  <c r="E113" i="34" s="1"/>
  <c r="A113" i="34"/>
  <c r="F112" i="34"/>
  <c r="G112" i="34" s="1"/>
  <c r="H112" i="34" s="1"/>
  <c r="I112" i="34" s="1"/>
  <c r="J112" i="34" s="1"/>
  <c r="K112" i="34" s="1"/>
  <c r="L112" i="34" s="1"/>
  <c r="C111" i="34"/>
  <c r="D111" i="34" s="1"/>
  <c r="E111" i="34" s="1"/>
  <c r="F111" i="34" s="1"/>
  <c r="G111" i="34" s="1"/>
  <c r="H111" i="34" s="1"/>
  <c r="I111" i="34" s="1"/>
  <c r="J111" i="34" s="1"/>
  <c r="K111" i="34" s="1"/>
  <c r="L111" i="34" s="1"/>
  <c r="A111" i="34"/>
  <c r="F110" i="34"/>
  <c r="G110" i="34" s="1"/>
  <c r="H110" i="34" s="1"/>
  <c r="I110" i="34" s="1"/>
  <c r="J110" i="34" s="1"/>
  <c r="K110" i="34" s="1"/>
  <c r="L110" i="34" s="1"/>
  <c r="A109" i="34"/>
  <c r="E108" i="34"/>
  <c r="F108" i="34" s="1"/>
  <c r="G108" i="34" s="1"/>
  <c r="H108" i="34" s="1"/>
  <c r="I108" i="34" s="1"/>
  <c r="J108" i="34" s="1"/>
  <c r="K108" i="34" s="1"/>
  <c r="L108" i="34" s="1"/>
  <c r="A108" i="34"/>
  <c r="L107" i="34"/>
  <c r="C106" i="34"/>
  <c r="D106" i="34" s="1"/>
  <c r="A106" i="34"/>
  <c r="C105" i="34"/>
  <c r="D105" i="34" s="1"/>
  <c r="E105" i="34" s="1"/>
  <c r="F105" i="34" s="1"/>
  <c r="G105" i="34" s="1"/>
  <c r="H105" i="34" s="1"/>
  <c r="I105" i="34" s="1"/>
  <c r="J105" i="34" s="1"/>
  <c r="K105" i="34" s="1"/>
  <c r="L105" i="34" s="1"/>
  <c r="A105" i="34"/>
  <c r="D104" i="34"/>
  <c r="D103" i="34"/>
  <c r="E103" i="34" s="1"/>
  <c r="F103" i="34" s="1"/>
  <c r="A103" i="34"/>
  <c r="D102" i="34"/>
  <c r="E102" i="34" s="1"/>
  <c r="F102" i="34" s="1"/>
  <c r="G102" i="34" s="1"/>
  <c r="H102" i="34" s="1"/>
  <c r="I102" i="34" s="1"/>
  <c r="J102" i="34" s="1"/>
  <c r="K102" i="34" s="1"/>
  <c r="L102" i="34" s="1"/>
  <c r="A102" i="34"/>
  <c r="D101" i="34"/>
  <c r="E101" i="34" s="1"/>
  <c r="F101" i="34" s="1"/>
  <c r="G101" i="34" s="1"/>
  <c r="H101" i="34" s="1"/>
  <c r="I101" i="34" s="1"/>
  <c r="J101" i="34" s="1"/>
  <c r="K101" i="34" s="1"/>
  <c r="L101" i="34" s="1"/>
  <c r="A101" i="34"/>
  <c r="D100" i="34"/>
  <c r="A100" i="34"/>
  <c r="D99" i="34"/>
  <c r="E99" i="34" s="1"/>
  <c r="F99" i="34" s="1"/>
  <c r="G99" i="34" s="1"/>
  <c r="H99" i="34" s="1"/>
  <c r="I99" i="34" s="1"/>
  <c r="J99" i="34" s="1"/>
  <c r="K99" i="34" s="1"/>
  <c r="L99" i="34" s="1"/>
  <c r="A99" i="34"/>
  <c r="D98" i="34"/>
  <c r="A98" i="34"/>
  <c r="D97" i="34"/>
  <c r="E97" i="34" s="1"/>
  <c r="F97" i="34" s="1"/>
  <c r="G97" i="34" s="1"/>
  <c r="H97" i="34" s="1"/>
  <c r="I97" i="34" s="1"/>
  <c r="J97" i="34" s="1"/>
  <c r="K97" i="34" s="1"/>
  <c r="L97" i="34" s="1"/>
  <c r="A97" i="34"/>
  <c r="D96" i="34"/>
  <c r="A96" i="34"/>
  <c r="D95" i="34"/>
  <c r="E95" i="34" s="1"/>
  <c r="F95" i="34" s="1"/>
  <c r="G95" i="34" s="1"/>
  <c r="H95" i="34" s="1"/>
  <c r="I95" i="34" s="1"/>
  <c r="J95" i="34" s="1"/>
  <c r="K95" i="34" s="1"/>
  <c r="L95" i="34" s="1"/>
  <c r="A95" i="34"/>
  <c r="D94" i="34"/>
  <c r="E94" i="34" s="1"/>
  <c r="F94" i="34" s="1"/>
  <c r="G94" i="34" s="1"/>
  <c r="H94" i="34" s="1"/>
  <c r="I94" i="34" s="1"/>
  <c r="J94" i="34" s="1"/>
  <c r="K94" i="34" s="1"/>
  <c r="L94" i="34" s="1"/>
  <c r="A94" i="34"/>
  <c r="D93" i="34"/>
  <c r="E93" i="34" s="1"/>
  <c r="F93" i="34" s="1"/>
  <c r="G93" i="34" s="1"/>
  <c r="H93" i="34" s="1"/>
  <c r="I93" i="34" s="1"/>
  <c r="J93" i="34" s="1"/>
  <c r="K93" i="34" s="1"/>
  <c r="L93" i="34" s="1"/>
  <c r="A93" i="34"/>
  <c r="A92" i="34"/>
  <c r="A91" i="34"/>
  <c r="A90" i="34"/>
  <c r="A89" i="34"/>
  <c r="A84" i="34"/>
  <c r="C83" i="34"/>
  <c r="D83" i="34" s="1"/>
  <c r="E83" i="34" s="1"/>
  <c r="F83" i="34" s="1"/>
  <c r="G83" i="34" s="1"/>
  <c r="H83" i="34" s="1"/>
  <c r="I83" i="34" s="1"/>
  <c r="J83" i="34" s="1"/>
  <c r="K83" i="34" s="1"/>
  <c r="L83" i="34" s="1"/>
  <c r="A83" i="34"/>
  <c r="C82" i="34"/>
  <c r="D82" i="34" s="1"/>
  <c r="E82" i="34" s="1"/>
  <c r="F82" i="34" s="1"/>
  <c r="G82" i="34" s="1"/>
  <c r="H82" i="34" s="1"/>
  <c r="I82" i="34" s="1"/>
  <c r="J82" i="34" s="1"/>
  <c r="K82" i="34" s="1"/>
  <c r="L82" i="34" s="1"/>
  <c r="A82" i="34"/>
  <c r="C81" i="34"/>
  <c r="D81" i="34" s="1"/>
  <c r="E81" i="34" s="1"/>
  <c r="F81" i="34" s="1"/>
  <c r="G81" i="34" s="1"/>
  <c r="H81" i="34" s="1"/>
  <c r="I81" i="34" s="1"/>
  <c r="J81" i="34" s="1"/>
  <c r="K81" i="34" s="1"/>
  <c r="L81" i="34" s="1"/>
  <c r="A81" i="34"/>
  <c r="C80" i="34"/>
  <c r="C79" i="34" s="1"/>
  <c r="A80" i="34"/>
  <c r="A79" i="34"/>
  <c r="A78" i="34"/>
  <c r="D77" i="34"/>
  <c r="E77" i="34" s="1"/>
  <c r="F77" i="34" s="1"/>
  <c r="G77" i="34" s="1"/>
  <c r="H77" i="34" s="1"/>
  <c r="I77" i="34" s="1"/>
  <c r="J77" i="34" s="1"/>
  <c r="K77" i="34" s="1"/>
  <c r="L77" i="34" s="1"/>
  <c r="A77" i="34"/>
  <c r="E76" i="34"/>
  <c r="A76" i="34"/>
  <c r="C52" i="34"/>
  <c r="D52" i="34" s="1"/>
  <c r="E52" i="34" s="1"/>
  <c r="F52" i="34" s="1"/>
  <c r="G52" i="34" s="1"/>
  <c r="H52" i="34" s="1"/>
  <c r="I52" i="34" s="1"/>
  <c r="J52" i="34" s="1"/>
  <c r="K52" i="34" s="1"/>
  <c r="L52" i="34" s="1"/>
  <c r="A52" i="34"/>
  <c r="A51" i="34"/>
  <c r="C50" i="34"/>
  <c r="D50" i="34" s="1"/>
  <c r="E50" i="34" s="1"/>
  <c r="F50" i="34" s="1"/>
  <c r="G50" i="34" s="1"/>
  <c r="H50" i="34" s="1"/>
  <c r="I50" i="34" s="1"/>
  <c r="J50" i="34" s="1"/>
  <c r="K50" i="34" s="1"/>
  <c r="L50" i="34" s="1"/>
  <c r="A50" i="34"/>
  <c r="A49" i="34"/>
  <c r="A48" i="34"/>
  <c r="C75" i="34"/>
  <c r="D75" i="34" s="1"/>
  <c r="E75" i="34" s="1"/>
  <c r="F75" i="34" s="1"/>
  <c r="G75" i="34" s="1"/>
  <c r="H75" i="34" s="1"/>
  <c r="I75" i="34" s="1"/>
  <c r="J75" i="34" s="1"/>
  <c r="K75" i="34" s="1"/>
  <c r="L75" i="34" s="1"/>
  <c r="A75" i="34"/>
  <c r="F74" i="34"/>
  <c r="E74" i="34" s="1"/>
  <c r="D74" i="34" s="1"/>
  <c r="A74" i="34"/>
  <c r="K73" i="34"/>
  <c r="J73" i="34" s="1"/>
  <c r="I73" i="34" s="1"/>
  <c r="H73" i="34" s="1"/>
  <c r="A73" i="34"/>
  <c r="F72" i="34"/>
  <c r="E72" i="34" s="1"/>
  <c r="D72" i="34" s="1"/>
  <c r="C72" i="34" s="1"/>
  <c r="A72" i="34"/>
  <c r="H71" i="34"/>
  <c r="A71" i="34"/>
  <c r="E70" i="34"/>
  <c r="A70" i="34"/>
  <c r="A69" i="34"/>
  <c r="P65" i="34"/>
  <c r="A65" i="34"/>
  <c r="P64" i="34"/>
  <c r="A64" i="34"/>
  <c r="A63" i="34"/>
  <c r="A62" i="34"/>
  <c r="E61" i="34"/>
  <c r="D61" i="34" s="1"/>
  <c r="C61" i="34" s="1"/>
  <c r="A61" i="34"/>
  <c r="C60" i="34"/>
  <c r="D60" i="34" s="1"/>
  <c r="E60" i="34" s="1"/>
  <c r="F60" i="34" s="1"/>
  <c r="G60" i="34" s="1"/>
  <c r="H60" i="34" s="1"/>
  <c r="I60" i="34" s="1"/>
  <c r="J60" i="34" s="1"/>
  <c r="K60" i="34" s="1"/>
  <c r="L60" i="34" s="1"/>
  <c r="A60" i="34"/>
  <c r="C59" i="34"/>
  <c r="J66" i="30" s="1"/>
  <c r="A59" i="34"/>
  <c r="C58" i="34"/>
  <c r="J69" i="30" s="1"/>
  <c r="V69" i="30" s="1"/>
  <c r="AK69" i="30" s="1"/>
  <c r="A58" i="34"/>
  <c r="D57" i="34"/>
  <c r="E57" i="34" s="1"/>
  <c r="F57" i="34" s="1"/>
  <c r="G57" i="34" s="1"/>
  <c r="H57" i="34" s="1"/>
  <c r="I57" i="34" s="1"/>
  <c r="J57" i="34" s="1"/>
  <c r="K57" i="34" s="1"/>
  <c r="L57" i="34" s="1"/>
  <c r="A57" i="34"/>
  <c r="D56" i="34"/>
  <c r="A56" i="34"/>
  <c r="D55" i="34"/>
  <c r="C55" i="34" s="1"/>
  <c r="A55" i="34"/>
  <c r="E54" i="34"/>
  <c r="J61" i="30" s="1"/>
  <c r="A54" i="34"/>
  <c r="C47" i="34"/>
  <c r="A47" i="34"/>
  <c r="C46" i="34"/>
  <c r="D46" i="34" s="1"/>
  <c r="E46" i="34" s="1"/>
  <c r="F46" i="34" s="1"/>
  <c r="A46" i="34"/>
  <c r="P44" i="34"/>
  <c r="A44" i="34"/>
  <c r="E43" i="34"/>
  <c r="A43" i="34"/>
  <c r="D42" i="34"/>
  <c r="A42" i="34"/>
  <c r="C41" i="34"/>
  <c r="D41" i="34" s="1"/>
  <c r="E41" i="34" s="1"/>
  <c r="F41" i="34" s="1"/>
  <c r="G41" i="34" s="1"/>
  <c r="H41" i="34" s="1"/>
  <c r="I41" i="34" s="1"/>
  <c r="J41" i="34" s="1"/>
  <c r="K41" i="34" s="1"/>
  <c r="L41" i="34" s="1"/>
  <c r="A41" i="34"/>
  <c r="A39" i="34"/>
  <c r="E38" i="34"/>
  <c r="J45" i="30" s="1"/>
  <c r="A38" i="34"/>
  <c r="C37" i="34"/>
  <c r="D37" i="34" s="1"/>
  <c r="E37" i="34" s="1"/>
  <c r="F37" i="34" s="1"/>
  <c r="G37" i="34" s="1"/>
  <c r="H37" i="34" s="1"/>
  <c r="I37" i="34" s="1"/>
  <c r="J37" i="34" s="1"/>
  <c r="K37" i="34" s="1"/>
  <c r="L37" i="34" s="1"/>
  <c r="A37" i="34"/>
  <c r="E36" i="34"/>
  <c r="D36" i="34" s="1"/>
  <c r="C36" i="34" s="1"/>
  <c r="J58" i="30" s="1"/>
  <c r="A36" i="34"/>
  <c r="C35" i="34"/>
  <c r="A35" i="34"/>
  <c r="C34" i="34"/>
  <c r="D34" i="34" s="1"/>
  <c r="E34" i="34" s="1"/>
  <c r="J56" i="30" s="1"/>
  <c r="V56" i="30" s="1"/>
  <c r="A34" i="34"/>
  <c r="E33" i="34"/>
  <c r="D33" i="34" s="1"/>
  <c r="A33" i="34"/>
  <c r="C32" i="34"/>
  <c r="D32" i="34" s="1"/>
  <c r="E32" i="34" s="1"/>
  <c r="F32" i="34" s="1"/>
  <c r="A32" i="34"/>
  <c r="C31" i="34"/>
  <c r="D31" i="34" s="1"/>
  <c r="A31" i="34"/>
  <c r="C30" i="34"/>
  <c r="D30" i="34" s="1"/>
  <c r="E30" i="34" s="1"/>
  <c r="A30" i="34"/>
  <c r="C29" i="34"/>
  <c r="D29" i="34" s="1"/>
  <c r="E29" i="34" s="1"/>
  <c r="F29" i="34" s="1"/>
  <c r="G29" i="34" s="1"/>
  <c r="H29" i="34" s="1"/>
  <c r="I29" i="34" s="1"/>
  <c r="J29" i="34" s="1"/>
  <c r="K29" i="34" s="1"/>
  <c r="L29" i="34" s="1"/>
  <c r="A29" i="34"/>
  <c r="C28" i="34"/>
  <c r="J33" i="30" s="1"/>
  <c r="A28" i="34"/>
  <c r="C27" i="34"/>
  <c r="D27" i="34" s="1"/>
  <c r="E27" i="34" s="1"/>
  <c r="F27" i="34" s="1"/>
  <c r="G27" i="34" s="1"/>
  <c r="H27" i="34" s="1"/>
  <c r="I27" i="34" s="1"/>
  <c r="J27" i="34" s="1"/>
  <c r="K27" i="34" s="1"/>
  <c r="L27" i="34" s="1"/>
  <c r="A27" i="34"/>
  <c r="C26" i="34"/>
  <c r="D26" i="34" s="1"/>
  <c r="A26" i="34"/>
  <c r="C25" i="34"/>
  <c r="R29" i="30" s="1"/>
  <c r="A25" i="34"/>
  <c r="D24" i="34"/>
  <c r="E24" i="34" s="1"/>
  <c r="F24" i="34" s="1"/>
  <c r="G24" i="34" s="1"/>
  <c r="H24" i="34" s="1"/>
  <c r="I24" i="34" s="1"/>
  <c r="J24" i="34" s="1"/>
  <c r="K24" i="34" s="1"/>
  <c r="L24" i="34" s="1"/>
  <c r="A24" i="34"/>
  <c r="C23" i="34"/>
  <c r="D23" i="34" s="1"/>
  <c r="E23" i="34" s="1"/>
  <c r="A23" i="34"/>
  <c r="C22" i="34"/>
  <c r="A22" i="34"/>
  <c r="E21" i="34"/>
  <c r="A21" i="34"/>
  <c r="C20" i="34"/>
  <c r="D20" i="34" s="1"/>
  <c r="E20" i="34" s="1"/>
  <c r="F20" i="34" s="1"/>
  <c r="G20" i="34" s="1"/>
  <c r="H20" i="34" s="1"/>
  <c r="I20" i="34" s="1"/>
  <c r="J20" i="34" s="1"/>
  <c r="K20" i="34" s="1"/>
  <c r="L20" i="34" s="1"/>
  <c r="A20" i="34"/>
  <c r="C19" i="34"/>
  <c r="D19" i="34" s="1"/>
  <c r="J14" i="30" s="1"/>
  <c r="A19" i="34"/>
  <c r="C18" i="34"/>
  <c r="D18" i="34" s="1"/>
  <c r="E18" i="34" s="1"/>
  <c r="F18" i="34" s="1"/>
  <c r="G18" i="34" s="1"/>
  <c r="H18" i="34" s="1"/>
  <c r="I18" i="34" s="1"/>
  <c r="J18" i="34" s="1"/>
  <c r="K18" i="34" s="1"/>
  <c r="L18" i="34" s="1"/>
  <c r="C17" i="34"/>
  <c r="D17" i="34" s="1"/>
  <c r="E17" i="34" s="1"/>
  <c r="A17" i="34"/>
  <c r="C16" i="34"/>
  <c r="D16" i="34" s="1"/>
  <c r="E16" i="34" s="1"/>
  <c r="F16" i="34" s="1"/>
  <c r="G16" i="34" s="1"/>
  <c r="H16" i="34" s="1"/>
  <c r="I16" i="34" s="1"/>
  <c r="J16" i="34" s="1"/>
  <c r="K16" i="34" s="1"/>
  <c r="L16" i="34" s="1"/>
  <c r="A16" i="34"/>
  <c r="C15" i="34"/>
  <c r="D15" i="34" s="1"/>
  <c r="E15" i="34" s="1"/>
  <c r="F15" i="34" s="1"/>
  <c r="G15" i="34" s="1"/>
  <c r="H15" i="34" s="1"/>
  <c r="I15" i="34" s="1"/>
  <c r="J15" i="34" s="1"/>
  <c r="K15" i="34" s="1"/>
  <c r="L15" i="34" s="1"/>
  <c r="A15" i="34"/>
  <c r="C14" i="34"/>
  <c r="D14" i="34" s="1"/>
  <c r="E14" i="34" s="1"/>
  <c r="F14" i="34" s="1"/>
  <c r="G14" i="34" s="1"/>
  <c r="H14" i="34" s="1"/>
  <c r="I14" i="34" s="1"/>
  <c r="J14" i="34" s="1"/>
  <c r="K14" i="34" s="1"/>
  <c r="L14" i="34" s="1"/>
  <c r="A14" i="34"/>
  <c r="C44" i="34"/>
  <c r="A13" i="34"/>
  <c r="E12" i="34"/>
  <c r="F12" i="34" s="1"/>
  <c r="G12" i="34" s="1"/>
  <c r="H12" i="34" s="1"/>
  <c r="I12" i="34" s="1"/>
  <c r="J12" i="34" s="1"/>
  <c r="K12" i="34" s="1"/>
  <c r="L12" i="34" s="1"/>
  <c r="A12" i="34"/>
  <c r="C11" i="34"/>
  <c r="D11" i="34" s="1"/>
  <c r="E11" i="34" s="1"/>
  <c r="F11" i="34" s="1"/>
  <c r="G11" i="34" s="1"/>
  <c r="H11" i="34" s="1"/>
  <c r="I11" i="34" s="1"/>
  <c r="J11" i="34" s="1"/>
  <c r="K11" i="34" s="1"/>
  <c r="L11" i="34" s="1"/>
  <c r="A11" i="34"/>
  <c r="C10" i="34"/>
  <c r="D10" i="34" s="1"/>
  <c r="E10" i="34" s="1"/>
  <c r="F10" i="34" s="1"/>
  <c r="G10" i="34" s="1"/>
  <c r="H10" i="34" s="1"/>
  <c r="I10" i="34" s="1"/>
  <c r="J10" i="34" s="1"/>
  <c r="K10" i="34" s="1"/>
  <c r="L10" i="34" s="1"/>
  <c r="A10" i="34"/>
  <c r="A9" i="34"/>
  <c r="E8" i="34"/>
  <c r="A8" i="34"/>
  <c r="E7" i="34"/>
  <c r="A7" i="34"/>
  <c r="D6" i="34"/>
  <c r="A6" i="34"/>
  <c r="D5" i="34"/>
  <c r="A5" i="34"/>
  <c r="AK154" i="30" l="1"/>
  <c r="V58" i="30"/>
  <c r="AP69" i="30"/>
  <c r="J103" i="30"/>
  <c r="V103" i="30" s="1"/>
  <c r="J105" i="30"/>
  <c r="J104" i="30"/>
  <c r="AP157" i="30"/>
  <c r="J82" i="30"/>
  <c r="V82" i="30" s="1"/>
  <c r="J70" i="30"/>
  <c r="G73" i="34"/>
  <c r="J132" i="30"/>
  <c r="J98" i="30"/>
  <c r="J99" i="30"/>
  <c r="V61" i="30"/>
  <c r="V33" i="30"/>
  <c r="AP155" i="30"/>
  <c r="F113" i="34"/>
  <c r="G113" i="34" s="1"/>
  <c r="H113" i="34" s="1"/>
  <c r="I113" i="34" s="1"/>
  <c r="J113" i="34" s="1"/>
  <c r="K113" i="34" s="1"/>
  <c r="L113" i="34" s="1"/>
  <c r="V124" i="30"/>
  <c r="AP156" i="30"/>
  <c r="AP158" i="30"/>
  <c r="AP159" i="30"/>
  <c r="AP160" i="30"/>
  <c r="AP161" i="30"/>
  <c r="J100" i="30"/>
  <c r="J102" i="30"/>
  <c r="J97" i="30"/>
  <c r="J101" i="30"/>
  <c r="J67" i="30"/>
  <c r="J55" i="30"/>
  <c r="D28" i="34"/>
  <c r="R86" i="30" s="1"/>
  <c r="D39" i="34"/>
  <c r="E39" i="34" s="1"/>
  <c r="F40" i="34"/>
  <c r="J17" i="30"/>
  <c r="E6" i="34"/>
  <c r="F6" i="34" s="1"/>
  <c r="G6" i="34" s="1"/>
  <c r="H6" i="34" s="1"/>
  <c r="J11" i="30"/>
  <c r="E5" i="34"/>
  <c r="F5" i="34" s="1"/>
  <c r="G5" i="34" s="1"/>
  <c r="H5" i="34" s="1"/>
  <c r="J10" i="30"/>
  <c r="M10" i="30" s="1"/>
  <c r="E104" i="34"/>
  <c r="F104" i="34" s="1"/>
  <c r="G104" i="34" s="1"/>
  <c r="H104" i="34" s="1"/>
  <c r="I104" i="34" s="1"/>
  <c r="J104" i="34" s="1"/>
  <c r="K104" i="34" s="1"/>
  <c r="L104" i="34" s="1"/>
  <c r="J91" i="30"/>
  <c r="E96" i="34"/>
  <c r="F96" i="34" s="1"/>
  <c r="G96" i="34" s="1"/>
  <c r="H96" i="34" s="1"/>
  <c r="I96" i="34" s="1"/>
  <c r="J96" i="34" s="1"/>
  <c r="K96" i="34" s="1"/>
  <c r="L96" i="34" s="1"/>
  <c r="J121" i="30"/>
  <c r="F34" i="34"/>
  <c r="G34" i="34" s="1"/>
  <c r="H34" i="34" s="1"/>
  <c r="I34" i="34" s="1"/>
  <c r="J34" i="34" s="1"/>
  <c r="K34" i="34" s="1"/>
  <c r="L34" i="34" s="1"/>
  <c r="D25" i="34"/>
  <c r="E25" i="34" s="1"/>
  <c r="F25" i="34" s="1"/>
  <c r="G25" i="34" s="1"/>
  <c r="H25" i="34" s="1"/>
  <c r="I25" i="34" s="1"/>
  <c r="J25" i="34" s="1"/>
  <c r="K25" i="34" s="1"/>
  <c r="L25" i="34" s="1"/>
  <c r="E56" i="34"/>
  <c r="F56" i="34" s="1"/>
  <c r="G56" i="34" s="1"/>
  <c r="H56" i="34" s="1"/>
  <c r="I56" i="34" s="1"/>
  <c r="J56" i="34" s="1"/>
  <c r="K56" i="34" s="1"/>
  <c r="L56" i="34" s="1"/>
  <c r="J63" i="30"/>
  <c r="J35" i="30"/>
  <c r="F70" i="34"/>
  <c r="G70" i="34" s="1"/>
  <c r="H70" i="34" s="1"/>
  <c r="I70" i="34" s="1"/>
  <c r="J70" i="34" s="1"/>
  <c r="K70" i="34" s="1"/>
  <c r="L70" i="34" s="1"/>
  <c r="G103" i="34"/>
  <c r="H103" i="34" s="1"/>
  <c r="I103" i="34" s="1"/>
  <c r="J103" i="34" s="1"/>
  <c r="K103" i="34" s="1"/>
  <c r="L103" i="34" s="1"/>
  <c r="J90" i="30"/>
  <c r="D22" i="34"/>
  <c r="E22" i="34" s="1"/>
  <c r="F22" i="34" s="1"/>
  <c r="G22" i="34" s="1"/>
  <c r="H22" i="34" s="1"/>
  <c r="I22" i="34" s="1"/>
  <c r="J22" i="34" s="1"/>
  <c r="K22" i="34" s="1"/>
  <c r="L22" i="34" s="1"/>
  <c r="E26" i="34"/>
  <c r="F26" i="34" s="1"/>
  <c r="G26" i="34" s="1"/>
  <c r="H26" i="34" s="1"/>
  <c r="I26" i="34" s="1"/>
  <c r="J26" i="34" s="1"/>
  <c r="K26" i="34" s="1"/>
  <c r="L26" i="34" s="1"/>
  <c r="J31" i="30"/>
  <c r="F30" i="34"/>
  <c r="G30" i="34" s="1"/>
  <c r="H30" i="34" s="1"/>
  <c r="I30" i="34" s="1"/>
  <c r="J30" i="34" s="1"/>
  <c r="K30" i="34" s="1"/>
  <c r="L30" i="34" s="1"/>
  <c r="J28" i="30"/>
  <c r="G32" i="34"/>
  <c r="H32" i="34" s="1"/>
  <c r="I32" i="34" s="1"/>
  <c r="J32" i="34" s="1"/>
  <c r="K32" i="34" s="1"/>
  <c r="L32" i="34" s="1"/>
  <c r="J87" i="30"/>
  <c r="J88" i="30"/>
  <c r="D43" i="34"/>
  <c r="C43" i="34" s="1"/>
  <c r="J72" i="30"/>
  <c r="G46" i="34"/>
  <c r="H46" i="34" s="1"/>
  <c r="I46" i="34" s="1"/>
  <c r="J46" i="34" s="1"/>
  <c r="K46" i="34" s="1"/>
  <c r="L46" i="34" s="1"/>
  <c r="J77" i="30"/>
  <c r="J37" i="30"/>
  <c r="C74" i="34"/>
  <c r="E98" i="34"/>
  <c r="F98" i="34" s="1"/>
  <c r="G98" i="34" s="1"/>
  <c r="H98" i="34" s="1"/>
  <c r="I98" i="34" s="1"/>
  <c r="J98" i="34" s="1"/>
  <c r="K98" i="34" s="1"/>
  <c r="L98" i="34" s="1"/>
  <c r="J95" i="30"/>
  <c r="E106" i="34"/>
  <c r="F106" i="34" s="1"/>
  <c r="G106" i="34" s="1"/>
  <c r="H106" i="34" s="1"/>
  <c r="I106" i="34" s="1"/>
  <c r="J106" i="34" s="1"/>
  <c r="K106" i="34" s="1"/>
  <c r="L106" i="34" s="1"/>
  <c r="J93" i="30"/>
  <c r="J92" i="30"/>
  <c r="D21" i="34"/>
  <c r="C21" i="34" s="1"/>
  <c r="J27" i="30"/>
  <c r="F23" i="34"/>
  <c r="G23" i="34" s="1"/>
  <c r="H23" i="34" s="1"/>
  <c r="I23" i="34" s="1"/>
  <c r="J23" i="34" s="1"/>
  <c r="K23" i="34" s="1"/>
  <c r="L23" i="34" s="1"/>
  <c r="J32" i="30"/>
  <c r="E31" i="34"/>
  <c r="F31" i="34" s="1"/>
  <c r="G31" i="34" s="1"/>
  <c r="H31" i="34" s="1"/>
  <c r="I31" i="34" s="1"/>
  <c r="J31" i="34" s="1"/>
  <c r="K31" i="34" s="1"/>
  <c r="L31" i="34" s="1"/>
  <c r="J86" i="30"/>
  <c r="C33" i="34"/>
  <c r="J52" i="30"/>
  <c r="D59" i="34"/>
  <c r="E59" i="34" s="1"/>
  <c r="F59" i="34" s="1"/>
  <c r="G59" i="34" s="1"/>
  <c r="H59" i="34" s="1"/>
  <c r="I59" i="34" s="1"/>
  <c r="J59" i="34" s="1"/>
  <c r="K59" i="34" s="1"/>
  <c r="L59" i="34" s="1"/>
  <c r="D79" i="34"/>
  <c r="E79" i="34" s="1"/>
  <c r="F79" i="34" s="1"/>
  <c r="G79" i="34" s="1"/>
  <c r="H79" i="34" s="1"/>
  <c r="I79" i="34" s="1"/>
  <c r="J79" i="34" s="1"/>
  <c r="K79" i="34" s="1"/>
  <c r="L79" i="34" s="1"/>
  <c r="J109" i="30"/>
  <c r="J96" i="30"/>
  <c r="D9" i="34"/>
  <c r="E9" i="34" s="1"/>
  <c r="F9" i="34" s="1"/>
  <c r="G9" i="34" s="1"/>
  <c r="H9" i="34" s="1"/>
  <c r="I9" i="34" s="1"/>
  <c r="J9" i="34" s="1"/>
  <c r="K9" i="34" s="1"/>
  <c r="L9" i="34" s="1"/>
  <c r="J25" i="30"/>
  <c r="E19" i="34"/>
  <c r="F19" i="34" s="1"/>
  <c r="G19" i="34" s="1"/>
  <c r="H19" i="34" s="1"/>
  <c r="I19" i="34" s="1"/>
  <c r="J19" i="34" s="1"/>
  <c r="K19" i="34" s="1"/>
  <c r="L19" i="34" s="1"/>
  <c r="J36" i="30"/>
  <c r="J113" i="30"/>
  <c r="V113" i="30" s="1"/>
  <c r="F17" i="34"/>
  <c r="G17" i="34" s="1"/>
  <c r="H17" i="34" s="1"/>
  <c r="I17" i="34" s="1"/>
  <c r="J17" i="34" s="1"/>
  <c r="K17" i="34" s="1"/>
  <c r="L17" i="34" s="1"/>
  <c r="D35" i="34"/>
  <c r="E35" i="34" s="1"/>
  <c r="D44" i="34"/>
  <c r="J84" i="30" s="1"/>
  <c r="V84" i="30" s="1"/>
  <c r="AK84" i="30" s="1"/>
  <c r="D58" i="34"/>
  <c r="D80" i="34"/>
  <c r="E80" i="34" s="1"/>
  <c r="F80" i="34" s="1"/>
  <c r="G80" i="34" s="1"/>
  <c r="H80" i="34" s="1"/>
  <c r="I80" i="34" s="1"/>
  <c r="J80" i="34" s="1"/>
  <c r="K80" i="34" s="1"/>
  <c r="L80" i="34" s="1"/>
  <c r="F76" i="34"/>
  <c r="G76" i="34" s="1"/>
  <c r="H76" i="34" s="1"/>
  <c r="I76" i="34" s="1"/>
  <c r="J76" i="34" s="1"/>
  <c r="K76" i="34" s="1"/>
  <c r="L76" i="34" s="1"/>
  <c r="D76" i="34"/>
  <c r="D108" i="34"/>
  <c r="C108" i="34" s="1"/>
  <c r="C57" i="34"/>
  <c r="I71" i="34"/>
  <c r="J71" i="34" s="1"/>
  <c r="K71" i="34" s="1"/>
  <c r="L71" i="34" s="1"/>
  <c r="G71" i="34"/>
  <c r="F71" i="34" s="1"/>
  <c r="E71" i="34" s="1"/>
  <c r="D71" i="34" s="1"/>
  <c r="D47" i="34"/>
  <c r="E47" i="34" s="1"/>
  <c r="J83" i="30" s="1"/>
  <c r="C13" i="34"/>
  <c r="D13" i="34" s="1"/>
  <c r="G74" i="34"/>
  <c r="H74" i="34" s="1"/>
  <c r="I74" i="34" s="1"/>
  <c r="J147" i="30" s="1"/>
  <c r="V147" i="30" s="1"/>
  <c r="AK147" i="30" s="1"/>
  <c r="E100" i="34"/>
  <c r="F100" i="34" s="1"/>
  <c r="G100" i="34" s="1"/>
  <c r="H100" i="34" s="1"/>
  <c r="I100" i="34" s="1"/>
  <c r="J100" i="34" s="1"/>
  <c r="K100" i="34" s="1"/>
  <c r="L100" i="34" s="1"/>
  <c r="E42" i="34"/>
  <c r="C42" i="34"/>
  <c r="F38" i="34"/>
  <c r="G38" i="34" s="1"/>
  <c r="H38" i="34" s="1"/>
  <c r="I38" i="34" s="1"/>
  <c r="J38" i="34" s="1"/>
  <c r="K38" i="34" s="1"/>
  <c r="L38" i="34" s="1"/>
  <c r="D38" i="34"/>
  <c r="C38" i="34" s="1"/>
  <c r="F33" i="34"/>
  <c r="G33" i="34" s="1"/>
  <c r="H33" i="34" s="1"/>
  <c r="I33" i="34" s="1"/>
  <c r="J33" i="34" s="1"/>
  <c r="K33" i="34" s="1"/>
  <c r="L33" i="34" s="1"/>
  <c r="E55" i="34"/>
  <c r="L73" i="34"/>
  <c r="C56" i="34"/>
  <c r="C78" i="34"/>
  <c r="D78" i="34" s="1"/>
  <c r="F21" i="34"/>
  <c r="G21" i="34" s="1"/>
  <c r="H21" i="34" s="1"/>
  <c r="I21" i="34" s="1"/>
  <c r="J21" i="34" s="1"/>
  <c r="K21" i="34" s="1"/>
  <c r="L21" i="34" s="1"/>
  <c r="F36" i="34"/>
  <c r="G36" i="34" s="1"/>
  <c r="H36" i="34" s="1"/>
  <c r="I36" i="34" s="1"/>
  <c r="J36" i="34" s="1"/>
  <c r="K36" i="34" s="1"/>
  <c r="L36" i="34" s="1"/>
  <c r="F43" i="34"/>
  <c r="G43" i="34" s="1"/>
  <c r="H43" i="34" s="1"/>
  <c r="I43" i="34" s="1"/>
  <c r="J43" i="34" s="1"/>
  <c r="K43" i="34" s="1"/>
  <c r="L43" i="34" s="1"/>
  <c r="D70" i="34"/>
  <c r="C70" i="34" s="1"/>
  <c r="C92" i="34"/>
  <c r="D92" i="34" s="1"/>
  <c r="J120" i="30" s="1"/>
  <c r="F7" i="34"/>
  <c r="G7" i="34" s="1"/>
  <c r="H7" i="34" s="1"/>
  <c r="I7" i="34" s="1"/>
  <c r="J7" i="34" s="1"/>
  <c r="K7" i="34" s="1"/>
  <c r="L7" i="34" s="1"/>
  <c r="D7" i="34"/>
  <c r="C7" i="34" s="1"/>
  <c r="F8" i="34"/>
  <c r="G8" i="34" s="1"/>
  <c r="H8" i="34" s="1"/>
  <c r="I8" i="34" s="1"/>
  <c r="J8" i="34" s="1"/>
  <c r="K8" i="34" s="1"/>
  <c r="L8" i="34" s="1"/>
  <c r="D8" i="34"/>
  <c r="C8" i="34" s="1"/>
  <c r="D12" i="34"/>
  <c r="C12" i="34" s="1"/>
  <c r="J13" i="30" s="1"/>
  <c r="G72" i="34"/>
  <c r="H72" i="34" s="1"/>
  <c r="I72" i="34" s="1"/>
  <c r="J135" i="30" s="1"/>
  <c r="D54" i="34"/>
  <c r="C54" i="34" s="1"/>
  <c r="F54" i="34"/>
  <c r="G54" i="34" s="1"/>
  <c r="H54" i="34" s="1"/>
  <c r="I54" i="34" s="1"/>
  <c r="J54" i="34" s="1"/>
  <c r="K54" i="34" s="1"/>
  <c r="L54" i="34" s="1"/>
  <c r="F61" i="34"/>
  <c r="G61" i="34" s="1"/>
  <c r="H61" i="34" s="1"/>
  <c r="I61" i="34" s="1"/>
  <c r="J61" i="34" s="1"/>
  <c r="K61" i="34" s="1"/>
  <c r="L61" i="34" s="1"/>
  <c r="C109" i="34"/>
  <c r="C115" i="34"/>
  <c r="D115" i="34" s="1"/>
  <c r="E115" i="34" s="1"/>
  <c r="F115" i="34" s="1"/>
  <c r="G115" i="34" s="1"/>
  <c r="H115" i="34" s="1"/>
  <c r="I115" i="34" s="1"/>
  <c r="J115" i="34" s="1"/>
  <c r="K115" i="34" s="1"/>
  <c r="L115" i="34" s="1"/>
  <c r="C119" i="34"/>
  <c r="C116" i="34"/>
  <c r="D116" i="34" s="1"/>
  <c r="E116" i="34" s="1"/>
  <c r="F116" i="34" s="1"/>
  <c r="G116" i="34" s="1"/>
  <c r="H116" i="34" s="1"/>
  <c r="I116" i="34" s="1"/>
  <c r="J116" i="34" s="1"/>
  <c r="K116" i="34" s="1"/>
  <c r="L116" i="34" s="1"/>
  <c r="AP154" i="30" l="1"/>
  <c r="F55" i="34"/>
  <c r="G55" i="34" s="1"/>
  <c r="H55" i="34" s="1"/>
  <c r="I55" i="34" s="1"/>
  <c r="J55" i="34" s="1"/>
  <c r="K55" i="34" s="1"/>
  <c r="L55" i="34" s="1"/>
  <c r="J64" i="30"/>
  <c r="AK58" i="30"/>
  <c r="AK57" i="30" s="1"/>
  <c r="F42" i="34"/>
  <c r="G42" i="34" s="1"/>
  <c r="H42" i="34" s="1"/>
  <c r="I42" i="34" s="1"/>
  <c r="J42" i="34" s="1"/>
  <c r="K42" i="34" s="1"/>
  <c r="L42" i="34" s="1"/>
  <c r="J48" i="30"/>
  <c r="AP147" i="30"/>
  <c r="V104" i="30"/>
  <c r="V135" i="30"/>
  <c r="AP84" i="30"/>
  <c r="M105" i="30"/>
  <c r="F73" i="34"/>
  <c r="J133" i="30"/>
  <c r="V133" i="30" s="1"/>
  <c r="AK133" i="30" s="1"/>
  <c r="V70" i="30"/>
  <c r="AK70" i="30" s="1"/>
  <c r="M91" i="30"/>
  <c r="J68" i="30"/>
  <c r="V68" i="30" s="1"/>
  <c r="J134" i="30"/>
  <c r="V134" i="30" s="1"/>
  <c r="J139" i="30"/>
  <c r="V139" i="30" s="1"/>
  <c r="AK139" i="30" s="1"/>
  <c r="AK103" i="30"/>
  <c r="V132" i="30"/>
  <c r="V99" i="30"/>
  <c r="V98" i="30"/>
  <c r="E44" i="34"/>
  <c r="F44" i="34" s="1"/>
  <c r="G44" i="34" s="1"/>
  <c r="H44" i="34" s="1"/>
  <c r="I44" i="34" s="1"/>
  <c r="J44" i="34" s="1"/>
  <c r="K44" i="34" s="1"/>
  <c r="L44" i="34" s="1"/>
  <c r="AK56" i="30"/>
  <c r="V97" i="30"/>
  <c r="V102" i="30"/>
  <c r="AK124" i="30"/>
  <c r="V55" i="30"/>
  <c r="V101" i="30"/>
  <c r="J81" i="30"/>
  <c r="J74" i="34"/>
  <c r="K74" i="34" s="1"/>
  <c r="L74" i="34" s="1"/>
  <c r="J46" i="30"/>
  <c r="J127" i="30"/>
  <c r="M87" i="30"/>
  <c r="M92" i="30"/>
  <c r="J29" i="30"/>
  <c r="J30" i="30"/>
  <c r="E28" i="34"/>
  <c r="F28" i="34" s="1"/>
  <c r="G28" i="34" s="1"/>
  <c r="H28" i="34" s="1"/>
  <c r="I28" i="34" s="1"/>
  <c r="J28" i="34" s="1"/>
  <c r="K28" i="34" s="1"/>
  <c r="L28" i="34" s="1"/>
  <c r="J112" i="30"/>
  <c r="F39" i="34"/>
  <c r="G39" i="34" s="1"/>
  <c r="G40" i="34"/>
  <c r="H40" i="34" s="1"/>
  <c r="I40" i="34" s="1"/>
  <c r="J40" i="34" s="1"/>
  <c r="K40" i="34" s="1"/>
  <c r="L40" i="34" s="1"/>
  <c r="E40" i="34"/>
  <c r="J49" i="30" s="1"/>
  <c r="J18" i="30"/>
  <c r="M11" i="30"/>
  <c r="M109" i="30"/>
  <c r="M52" i="30"/>
  <c r="M28" i="30"/>
  <c r="M86" i="30"/>
  <c r="M27" i="30"/>
  <c r="M93" i="30"/>
  <c r="M77" i="30"/>
  <c r="M90" i="30"/>
  <c r="M14" i="30"/>
  <c r="M13" i="30"/>
  <c r="J72" i="34"/>
  <c r="K72" i="34" s="1"/>
  <c r="L72" i="34" s="1"/>
  <c r="J131" i="30"/>
  <c r="E78" i="34"/>
  <c r="F78" i="34" s="1"/>
  <c r="G78" i="34" s="1"/>
  <c r="H78" i="34" s="1"/>
  <c r="I78" i="34" s="1"/>
  <c r="J78" i="34" s="1"/>
  <c r="K78" i="34" s="1"/>
  <c r="L78" i="34" s="1"/>
  <c r="J107" i="30"/>
  <c r="C71" i="34"/>
  <c r="J129" i="30"/>
  <c r="C76" i="34"/>
  <c r="J75" i="30"/>
  <c r="D109" i="34"/>
  <c r="E109" i="34" s="1"/>
  <c r="F109" i="34" s="1"/>
  <c r="G109" i="34" s="1"/>
  <c r="H109" i="34" s="1"/>
  <c r="I109" i="34" s="1"/>
  <c r="J109" i="34" s="1"/>
  <c r="K109" i="34" s="1"/>
  <c r="L109" i="34" s="1"/>
  <c r="J123" i="30"/>
  <c r="F47" i="34"/>
  <c r="G47" i="34" s="1"/>
  <c r="H47" i="34" s="1"/>
  <c r="I47" i="34" s="1"/>
  <c r="J47" i="34" s="1"/>
  <c r="K47" i="34" s="1"/>
  <c r="L47" i="34" s="1"/>
  <c r="J79" i="30"/>
  <c r="J80" i="30"/>
  <c r="J78" i="30"/>
  <c r="J115" i="30"/>
  <c r="E58" i="34"/>
  <c r="F58" i="34" s="1"/>
  <c r="G58" i="34" s="1"/>
  <c r="H58" i="34" s="1"/>
  <c r="I58" i="34" s="1"/>
  <c r="J58" i="34" s="1"/>
  <c r="K58" i="34" s="1"/>
  <c r="L58" i="34" s="1"/>
  <c r="D119" i="34"/>
  <c r="E119" i="34" s="1"/>
  <c r="F119" i="34" s="1"/>
  <c r="G119" i="34" s="1"/>
  <c r="H119" i="34" s="1"/>
  <c r="I119" i="34" s="1"/>
  <c r="J119" i="34" s="1"/>
  <c r="K119" i="34" s="1"/>
  <c r="L119" i="34" s="1"/>
  <c r="J62" i="30"/>
  <c r="E92" i="34"/>
  <c r="F92" i="34" s="1"/>
  <c r="F35" i="34"/>
  <c r="J53" i="30" s="1"/>
  <c r="J54" i="30"/>
  <c r="E13" i="34"/>
  <c r="F13" i="34" s="1"/>
  <c r="G13" i="34" s="1"/>
  <c r="H13" i="34" s="1"/>
  <c r="I13" i="34" s="1"/>
  <c r="J13" i="34" s="1"/>
  <c r="K13" i="34" s="1"/>
  <c r="L13" i="34" s="1"/>
  <c r="J15" i="30"/>
  <c r="J16" i="30"/>
  <c r="J23" i="30"/>
  <c r="V83" i="30"/>
  <c r="J47" i="30" l="1"/>
  <c r="V47" i="30" s="1"/>
  <c r="AK47" i="30" s="1"/>
  <c r="V105" i="30"/>
  <c r="V64" i="30"/>
  <c r="AP58" i="30"/>
  <c r="AP57" i="30" s="1"/>
  <c r="V48" i="30"/>
  <c r="AK68" i="30"/>
  <c r="E73" i="34"/>
  <c r="D73" i="34" s="1"/>
  <c r="J136" i="30"/>
  <c r="AK104" i="30"/>
  <c r="AK135" i="30"/>
  <c r="AP133" i="30"/>
  <c r="AK134" i="30"/>
  <c r="AP70" i="30"/>
  <c r="M29" i="30"/>
  <c r="AK132" i="30"/>
  <c r="AP139" i="30"/>
  <c r="AP103" i="30"/>
  <c r="AK99" i="30"/>
  <c r="AK98" i="30"/>
  <c r="H39" i="34"/>
  <c r="I39" i="34" s="1"/>
  <c r="J39" i="34" s="1"/>
  <c r="K39" i="34" s="1"/>
  <c r="L39" i="34" s="1"/>
  <c r="AP124" i="30"/>
  <c r="AK102" i="30"/>
  <c r="V49" i="30"/>
  <c r="AK55" i="30"/>
  <c r="AK97" i="30"/>
  <c r="M46" i="30"/>
  <c r="AP56" i="30"/>
  <c r="AK101" i="30"/>
  <c r="G92" i="34"/>
  <c r="H92" i="34" s="1"/>
  <c r="I92" i="34" s="1"/>
  <c r="J92" i="34" s="1"/>
  <c r="K92" i="34" s="1"/>
  <c r="L92" i="34" s="1"/>
  <c r="M78" i="30"/>
  <c r="V127" i="30"/>
  <c r="V18" i="30"/>
  <c r="V112" i="30"/>
  <c r="D40" i="34"/>
  <c r="C40" i="34" s="1"/>
  <c r="V129" i="30"/>
  <c r="M123" i="30"/>
  <c r="AK83" i="30"/>
  <c r="M15" i="30"/>
  <c r="M75" i="30"/>
  <c r="M107" i="30"/>
  <c r="G35" i="34"/>
  <c r="H35" i="34" s="1"/>
  <c r="I35" i="34" s="1"/>
  <c r="J35" i="34" s="1"/>
  <c r="K35" i="34" s="1"/>
  <c r="L35" i="34" s="1"/>
  <c r="V100" i="30"/>
  <c r="V96" i="30"/>
  <c r="V81" i="30"/>
  <c r="X90" i="30"/>
  <c r="X32" i="30"/>
  <c r="X35" i="30"/>
  <c r="X36" i="30"/>
  <c r="X37" i="30"/>
  <c r="X45" i="30"/>
  <c r="X46" i="30"/>
  <c r="X52" i="30"/>
  <c r="X53" i="30"/>
  <c r="X54" i="30"/>
  <c r="X61" i="30"/>
  <c r="X62" i="30"/>
  <c r="X63" i="30"/>
  <c r="X66" i="30"/>
  <c r="X67" i="30"/>
  <c r="X72" i="30"/>
  <c r="X75" i="30"/>
  <c r="X23" i="30"/>
  <c r="X77" i="30"/>
  <c r="X78" i="30"/>
  <c r="X79" i="30"/>
  <c r="X80" i="30"/>
  <c r="X86" i="30"/>
  <c r="X87" i="30"/>
  <c r="X88" i="30"/>
  <c r="X91" i="30"/>
  <c r="X92" i="30"/>
  <c r="X95" i="30"/>
  <c r="X107" i="30"/>
  <c r="X109" i="30"/>
  <c r="X110" i="30"/>
  <c r="X113" i="30"/>
  <c r="X120" i="30"/>
  <c r="X121" i="30"/>
  <c r="X123" i="30"/>
  <c r="X11" i="30"/>
  <c r="X13" i="30"/>
  <c r="X14" i="30"/>
  <c r="X15" i="30"/>
  <c r="X16" i="30"/>
  <c r="X17" i="30"/>
  <c r="X19" i="30"/>
  <c r="X25" i="30"/>
  <c r="X27" i="30"/>
  <c r="X28" i="30"/>
  <c r="X29" i="30"/>
  <c r="X30" i="30"/>
  <c r="AK105" i="30" l="1"/>
  <c r="AP105" i="30" s="1"/>
  <c r="AP47" i="30"/>
  <c r="J151" i="30"/>
  <c r="V151" i="30" s="1"/>
  <c r="AK151" i="30" s="1"/>
  <c r="J153" i="30"/>
  <c r="V153" i="30" s="1"/>
  <c r="AK153" i="30" s="1"/>
  <c r="J146" i="30"/>
  <c r="V146" i="30" s="1"/>
  <c r="AK146" i="30" s="1"/>
  <c r="AK64" i="30"/>
  <c r="AP64" i="30" s="1"/>
  <c r="J140" i="30"/>
  <c r="V140" i="30" s="1"/>
  <c r="AK140" i="30" s="1"/>
  <c r="J141" i="30"/>
  <c r="V141" i="30" s="1"/>
  <c r="AK141" i="30" s="1"/>
  <c r="AK48" i="30"/>
  <c r="AP68" i="30"/>
  <c r="AP135" i="30"/>
  <c r="AP104" i="30"/>
  <c r="M136" i="30"/>
  <c r="J148" i="30"/>
  <c r="J152" i="30"/>
  <c r="V152" i="30" s="1"/>
  <c r="J142" i="30"/>
  <c r="V142" i="30" s="1"/>
  <c r="J144" i="30"/>
  <c r="J143" i="30"/>
  <c r="V143" i="30" s="1"/>
  <c r="C73" i="34"/>
  <c r="J137" i="30"/>
  <c r="J150" i="30"/>
  <c r="V150" i="30" s="1"/>
  <c r="J145" i="30"/>
  <c r="V145" i="30" s="1"/>
  <c r="J149" i="30"/>
  <c r="J138" i="30"/>
  <c r="AP134" i="30"/>
  <c r="AP132" i="30"/>
  <c r="AP99" i="30"/>
  <c r="AP98" i="30"/>
  <c r="AP101" i="30"/>
  <c r="AP97" i="30"/>
  <c r="AK127" i="30"/>
  <c r="AK126" i="30" s="1"/>
  <c r="AP102" i="30"/>
  <c r="AK49" i="30"/>
  <c r="AP55" i="30"/>
  <c r="V15" i="30"/>
  <c r="AK112" i="30"/>
  <c r="AK18" i="30"/>
  <c r="AK82" i="30"/>
  <c r="AK81" i="30"/>
  <c r="M53" i="30"/>
  <c r="AL13" i="30"/>
  <c r="AL14" i="30"/>
  <c r="AL15" i="30"/>
  <c r="AL16" i="30"/>
  <c r="AL17" i="30"/>
  <c r="AL19" i="30"/>
  <c r="AL25" i="30"/>
  <c r="AL24" i="30" s="1"/>
  <c r="AL28" i="30"/>
  <c r="AL29" i="30"/>
  <c r="AL30" i="30"/>
  <c r="AL31" i="30"/>
  <c r="AL33" i="30"/>
  <c r="AL35" i="30"/>
  <c r="AL36" i="30"/>
  <c r="AL37" i="30"/>
  <c r="AL45" i="30"/>
  <c r="AL46" i="30"/>
  <c r="AL52" i="30"/>
  <c r="AL53" i="30"/>
  <c r="AL54" i="30"/>
  <c r="AL61" i="30"/>
  <c r="AL62" i="30"/>
  <c r="AL63" i="30"/>
  <c r="AL66" i="30"/>
  <c r="AL67" i="30"/>
  <c r="AL72" i="30"/>
  <c r="AL71" i="30" s="1"/>
  <c r="AL75" i="30"/>
  <c r="AL74" i="30" s="1"/>
  <c r="AL23" i="30"/>
  <c r="AL77" i="30"/>
  <c r="AL78" i="30"/>
  <c r="AL115" i="30"/>
  <c r="AL79" i="30"/>
  <c r="AL80" i="30"/>
  <c r="AL86" i="30"/>
  <c r="AL87" i="30"/>
  <c r="AL88" i="30"/>
  <c r="AL90" i="30"/>
  <c r="AL91" i="30"/>
  <c r="AL92" i="30"/>
  <c r="AL95" i="30"/>
  <c r="AL107" i="30"/>
  <c r="AL109" i="30"/>
  <c r="AL110" i="30"/>
  <c r="AL113" i="30"/>
  <c r="AL120" i="30"/>
  <c r="AL121" i="30"/>
  <c r="AL123" i="30"/>
  <c r="AL122" i="30" s="1"/>
  <c r="AL10" i="30"/>
  <c r="AP146" i="30" l="1"/>
  <c r="AL119" i="30"/>
  <c r="AP153" i="30"/>
  <c r="AP151" i="30"/>
  <c r="AL89" i="30"/>
  <c r="AL76" i="30"/>
  <c r="AL85" i="30"/>
  <c r="AL111" i="30"/>
  <c r="AL106" i="30"/>
  <c r="AL44" i="30"/>
  <c r="AL26" i="30"/>
  <c r="AL51" i="30"/>
  <c r="AL12" i="30"/>
  <c r="AL60" i="30"/>
  <c r="AL34" i="30"/>
  <c r="AP141" i="30"/>
  <c r="AP140" i="30"/>
  <c r="AP48" i="30"/>
  <c r="V149" i="30"/>
  <c r="V144" i="30"/>
  <c r="V148" i="30"/>
  <c r="AP127" i="30"/>
  <c r="AP126" i="30" s="1"/>
  <c r="AP49" i="30"/>
  <c r="AP112" i="30"/>
  <c r="AP18" i="30"/>
  <c r="AK152" i="30" l="1"/>
  <c r="AK145" i="30"/>
  <c r="AK143" i="30"/>
  <c r="AK144" i="30"/>
  <c r="AK150" i="30"/>
  <c r="AK148" i="30"/>
  <c r="AK149" i="30"/>
  <c r="AK142" i="30"/>
  <c r="AP152" i="30" l="1"/>
  <c r="AP149" i="30"/>
  <c r="AP145" i="30"/>
  <c r="AP148" i="30"/>
  <c r="AP143" i="30"/>
  <c r="AP142" i="30"/>
  <c r="AP150" i="30"/>
  <c r="AP144" i="30"/>
  <c r="AP176" i="30" l="1"/>
  <c r="AP174" i="30"/>
  <c r="AP173" i="30"/>
  <c r="AP169" i="30"/>
  <c r="AP190" i="30"/>
  <c r="AP186" i="30"/>
  <c r="AP185" i="30"/>
  <c r="AP175" i="30"/>
  <c r="AP191" i="30"/>
  <c r="AP187" i="30"/>
  <c r="AP189" i="30"/>
  <c r="AP168" i="30"/>
  <c r="AP167" i="30"/>
  <c r="AP172" i="30"/>
  <c r="AP184" i="30"/>
  <c r="AP171" i="30"/>
  <c r="AP83" i="30"/>
  <c r="AP82" i="30"/>
  <c r="W14" i="30"/>
  <c r="W109" i="30"/>
  <c r="W87" i="30"/>
  <c r="W88" i="30"/>
  <c r="AP166" i="30" l="1"/>
  <c r="AP182" i="30"/>
  <c r="V93" i="30"/>
  <c r="V137" i="30"/>
  <c r="V131" i="30"/>
  <c r="V138" i="30"/>
  <c r="AP194" i="30" l="1"/>
  <c r="AK93" i="30"/>
  <c r="V23" i="30"/>
  <c r="V45" i="30"/>
  <c r="V79" i="30"/>
  <c r="V32" i="30"/>
  <c r="V136" i="30"/>
  <c r="V54" i="30"/>
  <c r="V91" i="30"/>
  <c r="V63" i="30"/>
  <c r="V35" i="30"/>
  <c r="V121" i="30"/>
  <c r="V25" i="30"/>
  <c r="V75" i="30"/>
  <c r="AP93" i="30" l="1"/>
  <c r="V107" i="30"/>
  <c r="V52" i="30"/>
  <c r="V10" i="30"/>
  <c r="AL11" i="30" l="1"/>
  <c r="AL9" i="30" s="1"/>
  <c r="V27" i="30" l="1"/>
  <c r="V31" i="30"/>
  <c r="V46" i="30"/>
  <c r="V62" i="30"/>
  <c r="V90" i="30"/>
  <c r="V120" i="30"/>
  <c r="V77" i="30"/>
  <c r="V92" i="30"/>
  <c r="V123" i="30"/>
  <c r="V28" i="30"/>
  <c r="V29" i="30"/>
  <c r="V66" i="30"/>
  <c r="V78" i="30"/>
  <c r="V87" i="30"/>
  <c r="V95" i="30"/>
  <c r="V30" i="30"/>
  <c r="V67" i="30"/>
  <c r="V115" i="30"/>
  <c r="V88" i="30"/>
  <c r="V109" i="30"/>
  <c r="V17" i="30" l="1"/>
  <c r="V14" i="30"/>
  <c r="AY117" i="29" l="1"/>
  <c r="AZ117" i="29" s="1"/>
  <c r="AY116" i="29"/>
  <c r="AZ116" i="29" s="1"/>
  <c r="AY100" i="29"/>
  <c r="AZ100" i="29" s="1"/>
  <c r="AH17" i="29"/>
  <c r="AY19" i="29"/>
  <c r="AY14" i="29"/>
  <c r="AY96" i="29" l="1"/>
  <c r="AZ96" i="29" s="1"/>
  <c r="AY97" i="29"/>
  <c r="AZ97" i="29" s="1"/>
  <c r="AY98" i="29"/>
  <c r="AZ98" i="29" s="1"/>
  <c r="AY99" i="29"/>
  <c r="AZ99" i="29" s="1"/>
  <c r="AY101" i="29"/>
  <c r="AZ101" i="29" s="1"/>
  <c r="AY82" i="29"/>
  <c r="AY83" i="29"/>
  <c r="AZ83" i="29" s="1"/>
  <c r="AY84" i="29"/>
  <c r="AZ84" i="29" s="1"/>
  <c r="AY85" i="29"/>
  <c r="AZ85" i="29" s="1"/>
  <c r="AY67" i="29"/>
  <c r="AZ67" i="29" s="1"/>
  <c r="AY68" i="29"/>
  <c r="AZ68" i="29" s="1"/>
  <c r="AY69" i="29"/>
  <c r="AZ69" i="29" s="1"/>
  <c r="AY70" i="29"/>
  <c r="AZ70" i="29" s="1"/>
  <c r="AY71" i="29"/>
  <c r="AZ71" i="29" s="1"/>
  <c r="AY72" i="29"/>
  <c r="AZ72" i="29" s="1"/>
  <c r="AH43" i="29"/>
  <c r="AY43" i="29"/>
  <c r="AY55" i="29" l="1"/>
  <c r="AZ55" i="29" s="1"/>
  <c r="AY112" i="29" l="1"/>
  <c r="AZ112" i="29" s="1"/>
  <c r="AY113" i="29"/>
  <c r="AZ113" i="29" s="1"/>
  <c r="AY114" i="29"/>
  <c r="AZ114" i="29" s="1"/>
  <c r="AY115" i="29"/>
  <c r="AZ115" i="29" s="1"/>
  <c r="AY37" i="29" l="1"/>
  <c r="AY41" i="29"/>
  <c r="AZ41" i="29" s="1"/>
  <c r="AY42" i="29"/>
  <c r="AY47" i="29"/>
  <c r="AZ47" i="29" s="1"/>
  <c r="AY48" i="29"/>
  <c r="AY6" i="29"/>
  <c r="AY11" i="29"/>
  <c r="AY15" i="29"/>
  <c r="AY21" i="29"/>
  <c r="AY22" i="29"/>
  <c r="AY23" i="29"/>
  <c r="AY24" i="29"/>
  <c r="AZ24" i="29" s="1"/>
  <c r="AY25" i="29"/>
  <c r="AZ25" i="29" s="1"/>
  <c r="AY26" i="29"/>
  <c r="AZ26" i="29" s="1"/>
  <c r="AY27" i="29"/>
  <c r="AZ27" i="29" s="1"/>
  <c r="AY32" i="29"/>
  <c r="AY33" i="29"/>
  <c r="AY34" i="29"/>
  <c r="AY38" i="29"/>
  <c r="AY39" i="29"/>
  <c r="AY40" i="29"/>
  <c r="AY44" i="29"/>
  <c r="AY45" i="29"/>
  <c r="AY46" i="29"/>
  <c r="AY49" i="29"/>
  <c r="AY50" i="29"/>
  <c r="AY51" i="29"/>
  <c r="AY52" i="29"/>
  <c r="AY53" i="29"/>
  <c r="AY54" i="29"/>
  <c r="AY56" i="29"/>
  <c r="AZ56" i="29" s="1"/>
  <c r="AY57" i="29"/>
  <c r="AZ57" i="29" s="1"/>
  <c r="AY58" i="29"/>
  <c r="AZ58" i="29" s="1"/>
  <c r="AY59" i="29"/>
  <c r="AY60" i="29"/>
  <c r="AY62" i="29"/>
  <c r="AY63" i="29"/>
  <c r="AY64" i="29"/>
  <c r="AY73" i="29"/>
  <c r="AZ73" i="29" s="1"/>
  <c r="AY74" i="29"/>
  <c r="AY75" i="29"/>
  <c r="AY76" i="29"/>
  <c r="AY77" i="29"/>
  <c r="AY78" i="29"/>
  <c r="AY79" i="29"/>
  <c r="AY86" i="29"/>
  <c r="AY87" i="29"/>
  <c r="AY88" i="29"/>
  <c r="AY89" i="29"/>
  <c r="AY90" i="29"/>
  <c r="AY102" i="29"/>
  <c r="AY103" i="29"/>
  <c r="AY118" i="29"/>
  <c r="AZ118" i="29" s="1"/>
  <c r="AY119" i="29"/>
  <c r="AY120" i="29"/>
  <c r="AY121" i="29"/>
  <c r="AZ121" i="29" s="1"/>
  <c r="AY65" i="29"/>
  <c r="AY66" i="29"/>
  <c r="AY80" i="29"/>
  <c r="AY81" i="29"/>
  <c r="AY92" i="29"/>
  <c r="AY93" i="29"/>
  <c r="AY94" i="29"/>
  <c r="AY95" i="29"/>
  <c r="AY104" i="29"/>
  <c r="AY105" i="29"/>
  <c r="AY106" i="29"/>
  <c r="AY107" i="29"/>
  <c r="AY108" i="29"/>
  <c r="AY109" i="29"/>
  <c r="AY110" i="29"/>
  <c r="AZ110" i="29" s="1"/>
  <c r="AY111" i="29"/>
  <c r="AZ111" i="29" s="1"/>
  <c r="AB100" i="30" l="1"/>
  <c r="AB96" i="30"/>
  <c r="AB131" i="30"/>
  <c r="AB136" i="30"/>
  <c r="AB138" i="30"/>
  <c r="AB137" i="30"/>
  <c r="AB129" i="30"/>
  <c r="AB32" i="30"/>
  <c r="AB52" i="30"/>
  <c r="AB23" i="30"/>
  <c r="AB87" i="30"/>
  <c r="AB123" i="30"/>
  <c r="AB25" i="30"/>
  <c r="AB80" i="30"/>
  <c r="AB121" i="30"/>
  <c r="AB33" i="30"/>
  <c r="AB91" i="30"/>
  <c r="AB35" i="30"/>
  <c r="AB120" i="30"/>
  <c r="AB37" i="30"/>
  <c r="AB54" i="30"/>
  <c r="AB77" i="30"/>
  <c r="AB92" i="30"/>
  <c r="AB14" i="30"/>
  <c r="AB29" i="30"/>
  <c r="AB61" i="30"/>
  <c r="AB86" i="30"/>
  <c r="AB15" i="30"/>
  <c r="AB62" i="30"/>
  <c r="AB107" i="30"/>
  <c r="AB53" i="30"/>
  <c r="AB11" i="30"/>
  <c r="W72" i="30"/>
  <c r="W52" i="30"/>
  <c r="AB17" i="30"/>
  <c r="W11" i="30"/>
  <c r="AB63" i="30"/>
  <c r="AB19" i="30"/>
  <c r="AB46" i="30"/>
  <c r="AB66" i="30"/>
  <c r="AB79" i="30"/>
  <c r="AB109" i="30"/>
  <c r="AB16" i="30"/>
  <c r="AB36" i="30"/>
  <c r="AB72" i="30"/>
  <c r="AB95" i="30"/>
  <c r="AB30" i="30"/>
  <c r="AB13" i="30"/>
  <c r="AB67" i="30"/>
  <c r="W13" i="30"/>
  <c r="AB78" i="30"/>
  <c r="AB113" i="30"/>
  <c r="AB45" i="30"/>
  <c r="AB110" i="30"/>
  <c r="AB90" i="30"/>
  <c r="AB75" i="30"/>
  <c r="AB28" i="30"/>
  <c r="AB115" i="30"/>
  <c r="AB27" i="30"/>
  <c r="W61" i="30"/>
  <c r="W27" i="30"/>
  <c r="W45" i="30"/>
  <c r="W75" i="30"/>
  <c r="W10" i="30"/>
  <c r="AK33" i="30" l="1"/>
  <c r="AP81" i="30"/>
  <c r="Y61" i="30"/>
  <c r="Y27" i="30"/>
  <c r="Y13" i="30"/>
  <c r="Y72" i="30"/>
  <c r="Y52" i="30"/>
  <c r="Y11" i="30"/>
  <c r="Y14" i="30"/>
  <c r="Y75" i="30"/>
  <c r="Y19" i="30"/>
  <c r="Y28" i="30"/>
  <c r="Y45" i="30"/>
  <c r="Y17" i="30"/>
  <c r="W96" i="30"/>
  <c r="Y96" i="30"/>
  <c r="W100" i="30"/>
  <c r="Y100" i="30"/>
  <c r="W138" i="30"/>
  <c r="Y138" i="30"/>
  <c r="W136" i="30"/>
  <c r="Y136" i="30"/>
  <c r="W129" i="30"/>
  <c r="Y129" i="30"/>
  <c r="W131" i="30"/>
  <c r="Y131" i="30"/>
  <c r="W137" i="30"/>
  <c r="Y137" i="30"/>
  <c r="W115" i="30"/>
  <c r="Y115" i="30"/>
  <c r="Y110" i="30"/>
  <c r="W113" i="30"/>
  <c r="Y113" i="30"/>
  <c r="W79" i="30"/>
  <c r="Y79" i="30"/>
  <c r="W63" i="30"/>
  <c r="Y63" i="30"/>
  <c r="W62" i="30"/>
  <c r="Y62" i="30"/>
  <c r="W29" i="30"/>
  <c r="Y29" i="30"/>
  <c r="W54" i="30"/>
  <c r="Y54" i="30"/>
  <c r="W25" i="30"/>
  <c r="Y25" i="30"/>
  <c r="Y78" i="30"/>
  <c r="W36" i="30"/>
  <c r="Y36" i="30"/>
  <c r="Y66" i="30"/>
  <c r="Y15" i="30"/>
  <c r="W37" i="30"/>
  <c r="Y37" i="30"/>
  <c r="Y91" i="30"/>
  <c r="Y121" i="30"/>
  <c r="Y123" i="30"/>
  <c r="Y32" i="30"/>
  <c r="Y30" i="30"/>
  <c r="W16" i="30"/>
  <c r="Y16" i="30"/>
  <c r="Y46" i="30"/>
  <c r="W53" i="30"/>
  <c r="Y53" i="30"/>
  <c r="W86" i="30"/>
  <c r="Y86" i="30"/>
  <c r="Y92" i="30"/>
  <c r="Y120" i="30"/>
  <c r="W80" i="30"/>
  <c r="Y80" i="30"/>
  <c r="Y87" i="30"/>
  <c r="Y88" i="30"/>
  <c r="Y90" i="30"/>
  <c r="Y67" i="30"/>
  <c r="Y95" i="30"/>
  <c r="Y109" i="30"/>
  <c r="Y107" i="30"/>
  <c r="Y77" i="30"/>
  <c r="Y35" i="30"/>
  <c r="Y23" i="30"/>
  <c r="AK110" i="30" l="1"/>
  <c r="AK131" i="30"/>
  <c r="AK87" i="30"/>
  <c r="AK88" i="30"/>
  <c r="AK14" i="30"/>
  <c r="AK100" i="30"/>
  <c r="AK109" i="30"/>
  <c r="AK75" i="30"/>
  <c r="AK74" i="30" s="1"/>
  <c r="AK29" i="30"/>
  <c r="AK63" i="30"/>
  <c r="AK113" i="30"/>
  <c r="AK25" i="30"/>
  <c r="AK24" i="30" s="1"/>
  <c r="AK54" i="30"/>
  <c r="AK62" i="30"/>
  <c r="AK79" i="30"/>
  <c r="AK137" i="30"/>
  <c r="AK136" i="30"/>
  <c r="AK96" i="30"/>
  <c r="AK17" i="30"/>
  <c r="AK28" i="30"/>
  <c r="AK52" i="30"/>
  <c r="AK27" i="30"/>
  <c r="AK115" i="30"/>
  <c r="AK138" i="30"/>
  <c r="AK45" i="30"/>
  <c r="W120" i="30"/>
  <c r="W46" i="30"/>
  <c r="W32" i="30"/>
  <c r="W35" i="30"/>
  <c r="W95" i="30"/>
  <c r="W23" i="30"/>
  <c r="W77" i="30"/>
  <c r="W67" i="30"/>
  <c r="W92" i="30"/>
  <c r="W123" i="30"/>
  <c r="W15" i="30"/>
  <c r="W78" i="30"/>
  <c r="W107" i="30"/>
  <c r="W30" i="30"/>
  <c r="W121" i="30"/>
  <c r="W66" i="30"/>
  <c r="W91" i="30"/>
  <c r="W90" i="30"/>
  <c r="AK111" i="30" l="1"/>
  <c r="AK130" i="30"/>
  <c r="AP14" i="30"/>
  <c r="AK35" i="30"/>
  <c r="AK15" i="30"/>
  <c r="AP75" i="30"/>
  <c r="AP74" i="30" s="1"/>
  <c r="AK78" i="30"/>
  <c r="AK92" i="30"/>
  <c r="AK46" i="30"/>
  <c r="AK44" i="30" s="1"/>
  <c r="AK90" i="30"/>
  <c r="AK121" i="30"/>
  <c r="AK67" i="30"/>
  <c r="AK120" i="30"/>
  <c r="AK95" i="30"/>
  <c r="AK30" i="30"/>
  <c r="AK77" i="30"/>
  <c r="AK66" i="30"/>
  <c r="AK91" i="30"/>
  <c r="AK107" i="30"/>
  <c r="AK106" i="30" s="1"/>
  <c r="AK23" i="30"/>
  <c r="AK32" i="30"/>
  <c r="AK123" i="30"/>
  <c r="AK122" i="30" s="1"/>
  <c r="AP29" i="30"/>
  <c r="AP54" i="30"/>
  <c r="AP28" i="30"/>
  <c r="AP52" i="30"/>
  <c r="AP109" i="30"/>
  <c r="AP25" i="30"/>
  <c r="AP24" i="30" s="1"/>
  <c r="AP96" i="30"/>
  <c r="AP100" i="30"/>
  <c r="AP45" i="30"/>
  <c r="AP27" i="30"/>
  <c r="AP110" i="30"/>
  <c r="AP33" i="30"/>
  <c r="AP17" i="30"/>
  <c r="AP115" i="30"/>
  <c r="AP113" i="30"/>
  <c r="AP79" i="30"/>
  <c r="AP87" i="30"/>
  <c r="AP63" i="30"/>
  <c r="AP62" i="30"/>
  <c r="AP138" i="30"/>
  <c r="AP136" i="30"/>
  <c r="AP137" i="30"/>
  <c r="AP88" i="30"/>
  <c r="AK89" i="30" l="1"/>
  <c r="AP111" i="30"/>
  <c r="AK119" i="30"/>
  <c r="AP23" i="30"/>
  <c r="AP67" i="30"/>
  <c r="AP95" i="30"/>
  <c r="AP15" i="30"/>
  <c r="AP78" i="30"/>
  <c r="AP91" i="30"/>
  <c r="AP121" i="30"/>
  <c r="AP66" i="30"/>
  <c r="AP92" i="30"/>
  <c r="AP32" i="30"/>
  <c r="AP30" i="30"/>
  <c r="AP35" i="30"/>
  <c r="AP77" i="30"/>
  <c r="AP120" i="30"/>
  <c r="AP107" i="30"/>
  <c r="AP106" i="30" s="1"/>
  <c r="AP90" i="30"/>
  <c r="AP46" i="30"/>
  <c r="AP44" i="30" s="1"/>
  <c r="AP123" i="30"/>
  <c r="AP122" i="30" s="1"/>
  <c r="AP89" i="30" l="1"/>
  <c r="AP119" i="30"/>
  <c r="AB31" i="30"/>
  <c r="X31" i="30"/>
  <c r="W31" i="30" l="1"/>
  <c r="Y31" i="30"/>
  <c r="AK31" i="30" l="1"/>
  <c r="AK26" i="30" s="1"/>
  <c r="AP31" i="30" l="1"/>
  <c r="AP26" i="30" s="1"/>
  <c r="AY36" i="29" l="1"/>
  <c r="AY31" i="29"/>
  <c r="AY30" i="29"/>
  <c r="AY29" i="29"/>
  <c r="AY20" i="29"/>
  <c r="AY18" i="29"/>
  <c r="AY17" i="29"/>
  <c r="AY10" i="29"/>
  <c r="AY9" i="29"/>
  <c r="AY8" i="29"/>
  <c r="AY5" i="29"/>
  <c r="A4" i="19" l="1"/>
  <c r="A8" i="19"/>
  <c r="A9" i="19"/>
  <c r="AH8" i="29"/>
  <c r="AH9" i="29"/>
  <c r="AH10" i="29"/>
  <c r="AH14" i="29"/>
  <c r="AH18" i="29"/>
  <c r="AH19" i="29"/>
  <c r="AH20" i="29"/>
  <c r="AH29" i="29"/>
  <c r="AH30" i="29"/>
  <c r="AH31" i="29"/>
  <c r="AH36" i="29"/>
  <c r="AH37" i="29"/>
  <c r="AH42" i="29"/>
  <c r="AH48" i="29"/>
  <c r="AH6" i="29"/>
  <c r="AH12" i="29"/>
  <c r="AH15" i="29"/>
  <c r="AH21" i="29"/>
  <c r="AH22" i="29"/>
  <c r="AH23" i="29"/>
  <c r="AH25" i="29"/>
  <c r="AH32" i="29"/>
  <c r="AH33" i="29"/>
  <c r="AH34" i="29"/>
  <c r="AH38" i="29"/>
  <c r="AH39" i="29"/>
  <c r="AH40" i="29"/>
  <c r="AH44" i="29"/>
  <c r="AH45" i="29"/>
  <c r="AH46" i="29"/>
  <c r="AH49" i="29"/>
  <c r="AH50" i="29"/>
  <c r="AH51" i="29"/>
  <c r="AH52" i="29"/>
  <c r="AH53" i="29"/>
  <c r="AH54" i="29"/>
  <c r="AH59" i="29"/>
  <c r="AH60" i="29"/>
  <c r="AH61" i="29"/>
  <c r="AH62" i="29"/>
  <c r="AH63" i="29"/>
  <c r="AH64" i="29"/>
  <c r="AH74" i="29"/>
  <c r="AH75" i="29"/>
  <c r="AH76" i="29"/>
  <c r="AH77" i="29"/>
  <c r="AH78" i="29"/>
  <c r="AH79" i="29"/>
  <c r="AH86" i="29"/>
  <c r="AH87" i="29"/>
  <c r="AH88" i="29"/>
  <c r="AH89" i="29"/>
  <c r="AH90" i="29"/>
  <c r="AH102" i="29"/>
  <c r="AH103" i="29"/>
  <c r="AH118" i="29"/>
  <c r="AH119" i="29"/>
  <c r="AH120" i="29"/>
  <c r="AH121" i="29"/>
  <c r="AH65" i="29"/>
  <c r="AH66" i="29"/>
  <c r="AH80" i="29"/>
  <c r="AH81" i="29"/>
  <c r="AH82" i="29"/>
  <c r="AH91" i="29"/>
  <c r="AH92" i="29"/>
  <c r="AH93" i="29"/>
  <c r="AH94" i="29"/>
  <c r="AH95" i="29"/>
  <c r="AH104" i="29"/>
  <c r="AH105" i="29"/>
  <c r="AH106" i="29"/>
  <c r="AH107" i="29"/>
  <c r="AH108" i="29"/>
  <c r="AH109" i="29"/>
  <c r="AH5" i="29"/>
  <c r="H108" i="29"/>
  <c r="H109" i="29"/>
  <c r="H107" i="29"/>
  <c r="H106" i="29"/>
  <c r="H105" i="29"/>
  <c r="H104" i="29"/>
  <c r="H94" i="29"/>
  <c r="H95" i="29"/>
  <c r="H93" i="29"/>
  <c r="H92" i="29"/>
  <c r="H91" i="29"/>
  <c r="H82" i="29"/>
  <c r="H81" i="29"/>
  <c r="H80" i="29"/>
  <c r="H66" i="29"/>
  <c r="H65" i="29"/>
  <c r="H120" i="29"/>
  <c r="H119" i="29"/>
  <c r="H103" i="29"/>
  <c r="H102" i="29"/>
  <c r="H90" i="29"/>
  <c r="H89" i="29"/>
  <c r="H88" i="29"/>
  <c r="H87" i="29"/>
  <c r="H86" i="29"/>
  <c r="H79" i="29"/>
  <c r="H78" i="29"/>
  <c r="H77" i="29"/>
  <c r="H76" i="29"/>
  <c r="H75" i="29"/>
  <c r="H74" i="29"/>
  <c r="H64" i="29"/>
  <c r="H63" i="29"/>
  <c r="H62" i="29"/>
  <c r="H61" i="29"/>
  <c r="H60" i="29"/>
  <c r="H59" i="29"/>
  <c r="H52" i="29"/>
  <c r="H53" i="29"/>
  <c r="H54" i="29"/>
  <c r="H51" i="29"/>
  <c r="H50" i="29"/>
  <c r="H49" i="29"/>
  <c r="H46" i="29"/>
  <c r="H45" i="29"/>
  <c r="H44" i="29"/>
  <c r="H39" i="29"/>
  <c r="H40" i="29"/>
  <c r="H38" i="29"/>
  <c r="H34" i="29"/>
  <c r="H33" i="29"/>
  <c r="H32" i="29"/>
  <c r="H22" i="29"/>
  <c r="H23" i="29"/>
  <c r="H24" i="29"/>
  <c r="H25" i="29"/>
  <c r="H21" i="29"/>
  <c r="H15" i="29"/>
  <c r="H12" i="29"/>
  <c r="H6" i="29"/>
  <c r="H48" i="29"/>
  <c r="H43" i="29"/>
  <c r="H42" i="29"/>
  <c r="H37" i="29"/>
  <c r="H36" i="29"/>
  <c r="H31" i="29"/>
  <c r="H30" i="29"/>
  <c r="H29" i="29"/>
  <c r="H18" i="29"/>
  <c r="H19" i="29"/>
  <c r="H20" i="29"/>
  <c r="H17" i="29"/>
  <c r="H14" i="29"/>
  <c r="H9" i="29"/>
  <c r="H10" i="29"/>
  <c r="H8" i="29"/>
  <c r="H5" i="29"/>
  <c r="F25" i="29"/>
  <c r="G25" i="29"/>
  <c r="AJ108" i="29"/>
  <c r="AJ93" i="29"/>
  <c r="AJ92" i="29"/>
  <c r="AJ109" i="29"/>
  <c r="AJ107" i="29"/>
  <c r="AJ106" i="29"/>
  <c r="AJ105" i="29"/>
  <c r="AJ104" i="29"/>
  <c r="AJ94" i="29"/>
  <c r="AJ95" i="29"/>
  <c r="AJ91" i="29"/>
  <c r="AJ81" i="29"/>
  <c r="AJ82" i="29"/>
  <c r="AJ80" i="29"/>
  <c r="AJ66" i="29"/>
  <c r="AJ65" i="29"/>
  <c r="AJ120" i="29"/>
  <c r="AJ119" i="29"/>
  <c r="AJ103" i="29"/>
  <c r="AJ102" i="29"/>
  <c r="AJ88" i="29"/>
  <c r="AJ89" i="29"/>
  <c r="AJ90" i="29"/>
  <c r="AJ87" i="29"/>
  <c r="AJ86" i="29"/>
  <c r="AJ79" i="29"/>
  <c r="AJ78" i="29"/>
  <c r="AJ77" i="29"/>
  <c r="AJ76" i="29"/>
  <c r="AJ75" i="29"/>
  <c r="AJ74" i="29"/>
  <c r="AJ60" i="29"/>
  <c r="AJ61" i="29"/>
  <c r="AJ62" i="29"/>
  <c r="AJ63" i="29"/>
  <c r="AJ64" i="29"/>
  <c r="AJ59" i="29"/>
  <c r="F87" i="29"/>
  <c r="G87" i="29"/>
  <c r="F88" i="29"/>
  <c r="G88" i="29"/>
  <c r="F89" i="29"/>
  <c r="G89" i="29"/>
  <c r="F90" i="29"/>
  <c r="G90" i="29"/>
  <c r="F102" i="29"/>
  <c r="G102" i="29"/>
  <c r="F103" i="29"/>
  <c r="G103" i="29"/>
  <c r="F119" i="29"/>
  <c r="G119" i="29"/>
  <c r="F120" i="29"/>
  <c r="G120" i="29"/>
  <c r="F65" i="29"/>
  <c r="G65" i="29"/>
  <c r="F66" i="29"/>
  <c r="G66" i="29"/>
  <c r="F80" i="29"/>
  <c r="G80" i="29"/>
  <c r="F81" i="29"/>
  <c r="AK81" i="29" s="1"/>
  <c r="AZ81" i="29" s="1"/>
  <c r="G81" i="29"/>
  <c r="F82" i="29"/>
  <c r="G82" i="29"/>
  <c r="F91" i="29"/>
  <c r="G91" i="29"/>
  <c r="F92" i="29"/>
  <c r="G92" i="29"/>
  <c r="F93" i="29"/>
  <c r="G93" i="29"/>
  <c r="F94" i="29"/>
  <c r="G94" i="29"/>
  <c r="F95" i="29"/>
  <c r="G95" i="29"/>
  <c r="F104" i="29"/>
  <c r="G104" i="29"/>
  <c r="F105" i="29"/>
  <c r="G105" i="29"/>
  <c r="F106" i="29"/>
  <c r="AK106" i="29" s="1"/>
  <c r="AZ106" i="29" s="1"/>
  <c r="G106" i="29"/>
  <c r="F107" i="29"/>
  <c r="G107" i="29"/>
  <c r="F108" i="29"/>
  <c r="G108" i="29"/>
  <c r="F109" i="29"/>
  <c r="AK109" i="29" s="1"/>
  <c r="AZ109" i="29" s="1"/>
  <c r="G109" i="29"/>
  <c r="G86" i="29"/>
  <c r="F86" i="29"/>
  <c r="G79" i="29"/>
  <c r="F79" i="29"/>
  <c r="G78" i="29"/>
  <c r="F78" i="29"/>
  <c r="AK78" i="29" s="1"/>
  <c r="AZ78" i="29" s="1"/>
  <c r="G77" i="29"/>
  <c r="F77" i="29"/>
  <c r="G76" i="29"/>
  <c r="F76" i="29"/>
  <c r="G75" i="29"/>
  <c r="F75" i="29"/>
  <c r="G74" i="29"/>
  <c r="F74" i="29"/>
  <c r="F60" i="29"/>
  <c r="G60" i="29"/>
  <c r="F61" i="29"/>
  <c r="G61" i="29"/>
  <c r="F62" i="29"/>
  <c r="G62" i="29"/>
  <c r="F63" i="29"/>
  <c r="G63" i="29"/>
  <c r="F64" i="29"/>
  <c r="AK64" i="29" s="1"/>
  <c r="AZ64" i="29" s="1"/>
  <c r="G64" i="29"/>
  <c r="G59" i="29"/>
  <c r="F59" i="29"/>
  <c r="AJ54" i="29"/>
  <c r="AJ53" i="29"/>
  <c r="AJ52" i="29"/>
  <c r="AJ51" i="29"/>
  <c r="AJ50" i="29"/>
  <c r="AJ49" i="29"/>
  <c r="AJ45" i="29"/>
  <c r="AJ46" i="29"/>
  <c r="AJ44" i="29"/>
  <c r="AJ39" i="29"/>
  <c r="AJ40" i="29"/>
  <c r="AJ38" i="29"/>
  <c r="AJ34" i="29"/>
  <c r="AJ33" i="29"/>
  <c r="AJ32" i="29"/>
  <c r="AJ22" i="29"/>
  <c r="AJ23" i="29"/>
  <c r="AJ21" i="29"/>
  <c r="AJ15" i="29"/>
  <c r="AJ12" i="29"/>
  <c r="AJ48" i="29"/>
  <c r="AJ43" i="29"/>
  <c r="AJ42" i="29"/>
  <c r="AJ37" i="29"/>
  <c r="AJ36" i="29"/>
  <c r="AJ30" i="29"/>
  <c r="AJ31" i="29"/>
  <c r="AJ29" i="29"/>
  <c r="AJ18" i="29"/>
  <c r="AJ19" i="29"/>
  <c r="AJ20" i="29"/>
  <c r="AJ17" i="29"/>
  <c r="AJ14" i="29"/>
  <c r="AJ9" i="29"/>
  <c r="AJ10" i="29"/>
  <c r="AJ8" i="29"/>
  <c r="F52" i="29"/>
  <c r="G52" i="29"/>
  <c r="F53" i="29"/>
  <c r="G53" i="29"/>
  <c r="F54" i="29"/>
  <c r="AK54" i="29" s="1"/>
  <c r="AZ54" i="29" s="1"/>
  <c r="G54" i="29"/>
  <c r="G51" i="29"/>
  <c r="F51" i="29"/>
  <c r="AK51" i="29" s="1"/>
  <c r="AZ51" i="29" s="1"/>
  <c r="G50" i="29"/>
  <c r="F50" i="29"/>
  <c r="G49" i="29"/>
  <c r="F49" i="29"/>
  <c r="G46" i="29"/>
  <c r="F46" i="29"/>
  <c r="G45" i="29"/>
  <c r="F45" i="29"/>
  <c r="G44" i="29"/>
  <c r="F44" i="29"/>
  <c r="F40" i="29"/>
  <c r="G40" i="29"/>
  <c r="G39" i="29"/>
  <c r="F39" i="29"/>
  <c r="AK39" i="29" s="1"/>
  <c r="AZ39" i="29" s="1"/>
  <c r="G38" i="29"/>
  <c r="F38" i="29"/>
  <c r="AK38" i="29" s="1"/>
  <c r="AZ38" i="29" s="1"/>
  <c r="F33" i="29"/>
  <c r="G33" i="29"/>
  <c r="F34" i="29"/>
  <c r="G34" i="29"/>
  <c r="G32" i="29"/>
  <c r="F32" i="29"/>
  <c r="F22" i="29"/>
  <c r="G22" i="29"/>
  <c r="F23" i="29"/>
  <c r="G23" i="29"/>
  <c r="F24" i="29"/>
  <c r="G24" i="29"/>
  <c r="G21" i="29"/>
  <c r="F21" i="29"/>
  <c r="AK21" i="29" s="1"/>
  <c r="AZ21" i="29" s="1"/>
  <c r="G15" i="29"/>
  <c r="F15" i="29"/>
  <c r="G12" i="29"/>
  <c r="F12" i="29"/>
  <c r="G6" i="29"/>
  <c r="F6" i="29"/>
  <c r="G48" i="29"/>
  <c r="F48" i="29"/>
  <c r="G43" i="29"/>
  <c r="F43" i="29"/>
  <c r="G42" i="29"/>
  <c r="F42" i="29"/>
  <c r="G37" i="29"/>
  <c r="F37" i="29"/>
  <c r="AK37" i="29" s="1"/>
  <c r="AZ37" i="29" s="1"/>
  <c r="G36" i="29"/>
  <c r="F36" i="29"/>
  <c r="F30" i="29"/>
  <c r="G30" i="29"/>
  <c r="F31" i="29"/>
  <c r="G31" i="29"/>
  <c r="G29" i="29"/>
  <c r="F29" i="29"/>
  <c r="G18" i="29"/>
  <c r="G19" i="29"/>
  <c r="G20" i="29"/>
  <c r="G17" i="29"/>
  <c r="G14" i="29"/>
  <c r="G9" i="29"/>
  <c r="G10" i="29"/>
  <c r="G8" i="29"/>
  <c r="G5" i="29"/>
  <c r="F18" i="29"/>
  <c r="F19" i="29"/>
  <c r="F20" i="29"/>
  <c r="F17" i="29"/>
  <c r="F14" i="29"/>
  <c r="F9" i="29"/>
  <c r="F10" i="29"/>
  <c r="F8" i="29"/>
  <c r="F5" i="29"/>
  <c r="A5" i="19"/>
  <c r="AB10" i="30"/>
  <c r="X10" i="30"/>
  <c r="E49" i="19"/>
  <c r="P49" i="19" s="1"/>
  <c r="B25" i="23"/>
  <c r="B27" i="23"/>
  <c r="B28" i="23"/>
  <c r="B29" i="23"/>
  <c r="B30" i="23"/>
  <c r="B31" i="23"/>
  <c r="B33" i="23"/>
  <c r="B34" i="23"/>
  <c r="B35" i="23"/>
  <c r="B36" i="23"/>
  <c r="B37" i="23"/>
  <c r="B38" i="23"/>
  <c r="B39" i="23"/>
  <c r="B40" i="23"/>
  <c r="B41" i="23"/>
  <c r="B42" i="23"/>
  <c r="B44" i="23"/>
  <c r="B45" i="23"/>
  <c r="B46" i="23"/>
  <c r="B47" i="23"/>
  <c r="B48" i="23"/>
  <c r="B49" i="23"/>
  <c r="B51" i="23"/>
  <c r="B52" i="23"/>
  <c r="B53" i="23"/>
  <c r="B54" i="23"/>
  <c r="B55" i="23"/>
  <c r="B7" i="23"/>
  <c r="B13" i="23"/>
  <c r="B32" i="23"/>
  <c r="B43" i="23"/>
  <c r="B50" i="23"/>
  <c r="B26" i="23"/>
  <c r="B23" i="23"/>
  <c r="BA6" i="23"/>
  <c r="AP39" i="23"/>
  <c r="BA39" i="23" s="1"/>
  <c r="AM39" i="23"/>
  <c r="P4" i="19"/>
  <c r="P5" i="19"/>
  <c r="A6" i="19"/>
  <c r="P6" i="19"/>
  <c r="P7" i="19"/>
  <c r="P8" i="19"/>
  <c r="P9" i="19"/>
  <c r="A10" i="19"/>
  <c r="P10" i="19"/>
  <c r="A11" i="19"/>
  <c r="P11" i="19"/>
  <c r="A12" i="19"/>
  <c r="P12" i="19"/>
  <c r="P13" i="19"/>
  <c r="P14" i="19"/>
  <c r="P17" i="19"/>
  <c r="P19" i="19"/>
  <c r="P20" i="19"/>
  <c r="P21" i="19"/>
  <c r="C49" i="19"/>
  <c r="BA20" i="23"/>
  <c r="B24" i="23"/>
  <c r="BA13" i="23"/>
  <c r="BA32" i="23"/>
  <c r="BA33" i="23"/>
  <c r="BA37" i="23"/>
  <c r="BA9" i="23"/>
  <c r="BA36" i="23"/>
  <c r="BA7" i="23"/>
  <c r="BA27" i="23"/>
  <c r="BA31" i="23"/>
  <c r="BA18" i="23"/>
  <c r="BA28" i="23"/>
  <c r="BA12" i="23"/>
  <c r="BA35" i="23"/>
  <c r="BA25" i="23"/>
  <c r="BA8" i="23"/>
  <c r="BA26" i="23"/>
  <c r="BA11" i="23"/>
  <c r="BA16" i="23"/>
  <c r="BA5" i="23"/>
  <c r="BA24" i="23"/>
  <c r="BA30" i="23"/>
  <c r="BA19" i="23"/>
  <c r="BA23" i="23"/>
  <c r="BA22" i="23"/>
  <c r="BA38" i="23"/>
  <c r="BA10" i="23"/>
  <c r="BA29" i="23"/>
  <c r="BA34" i="23"/>
  <c r="B18" i="23"/>
  <c r="B19" i="23"/>
  <c r="B5" i="23"/>
  <c r="B6" i="23"/>
  <c r="B21" i="23"/>
  <c r="B15" i="23"/>
  <c r="B8" i="23"/>
  <c r="B17" i="23"/>
  <c r="B20" i="23"/>
  <c r="B4" i="23"/>
  <c r="B9" i="23"/>
  <c r="B16" i="23"/>
  <c r="B22" i="23"/>
  <c r="B11" i="23"/>
  <c r="B14" i="23"/>
  <c r="B12" i="23"/>
  <c r="B10" i="23"/>
  <c r="A7" i="19"/>
  <c r="AK119" i="29" l="1"/>
  <c r="AZ119" i="29" s="1"/>
  <c r="AK61" i="29"/>
  <c r="AZ61" i="29" s="1"/>
  <c r="AK59" i="29"/>
  <c r="AZ59" i="29" s="1"/>
  <c r="AK43" i="29"/>
  <c r="AZ43" i="29" s="1"/>
  <c r="AD129" i="30"/>
  <c r="Y10" i="30"/>
  <c r="AK19" i="29"/>
  <c r="AZ19" i="29" s="1"/>
  <c r="AK108" i="29"/>
  <c r="AZ108" i="29" s="1"/>
  <c r="AK36" i="29"/>
  <c r="AZ36" i="29" s="1"/>
  <c r="AK14" i="29"/>
  <c r="AK17" i="29"/>
  <c r="AZ17" i="29" s="1"/>
  <c r="AK74" i="29"/>
  <c r="AZ74" i="29" s="1"/>
  <c r="AK80" i="29"/>
  <c r="AZ80" i="29" s="1"/>
  <c r="AK89" i="29"/>
  <c r="AZ89" i="29" s="1"/>
  <c r="AK23" i="29"/>
  <c r="AZ23" i="29" s="1"/>
  <c r="AK60" i="29"/>
  <c r="AZ60" i="29" s="1"/>
  <c r="AK29" i="29"/>
  <c r="AZ29" i="29" s="1"/>
  <c r="AK40" i="29"/>
  <c r="AZ40" i="29" s="1"/>
  <c r="AK94" i="29"/>
  <c r="AZ94" i="29" s="1"/>
  <c r="AK82" i="29"/>
  <c r="AZ82" i="29" s="1"/>
  <c r="AK8" i="29"/>
  <c r="AK75" i="29"/>
  <c r="AZ75" i="29" s="1"/>
  <c r="AK62" i="29"/>
  <c r="AZ62" i="29" s="1"/>
  <c r="AK95" i="29"/>
  <c r="AZ95" i="29" s="1"/>
  <c r="AK93" i="29"/>
  <c r="AZ93" i="29" s="1"/>
  <c r="AK79" i="29"/>
  <c r="AZ79" i="29" s="1"/>
  <c r="AK18" i="29"/>
  <c r="AZ18" i="29" s="1"/>
  <c r="AK48" i="29"/>
  <c r="AZ48" i="29" s="1"/>
  <c r="AK12" i="29"/>
  <c r="AK44" i="29"/>
  <c r="AZ44" i="29" s="1"/>
  <c r="AK46" i="29"/>
  <c r="AZ46" i="29" s="1"/>
  <c r="AK50" i="29"/>
  <c r="AZ50" i="29" s="1"/>
  <c r="AK76" i="29"/>
  <c r="AZ76" i="29" s="1"/>
  <c r="AK86" i="29"/>
  <c r="AZ86" i="29" s="1"/>
  <c r="AK34" i="29"/>
  <c r="AZ34" i="29" s="1"/>
  <c r="AK63" i="29"/>
  <c r="AZ63" i="29" s="1"/>
  <c r="AK92" i="29"/>
  <c r="AZ92" i="29" s="1"/>
  <c r="AK9" i="29"/>
  <c r="AK30" i="29"/>
  <c r="AZ30" i="29" s="1"/>
  <c r="AK107" i="29"/>
  <c r="AZ107" i="29" s="1"/>
  <c r="AK105" i="29"/>
  <c r="AZ105" i="29" s="1"/>
  <c r="AK91" i="29"/>
  <c r="AZ91" i="29" s="1"/>
  <c r="AK66" i="29"/>
  <c r="AZ66" i="29" s="1"/>
  <c r="AK120" i="29"/>
  <c r="AZ120" i="29" s="1"/>
  <c r="AK33" i="29"/>
  <c r="AZ33" i="29" s="1"/>
  <c r="AK22" i="29"/>
  <c r="AZ22" i="29" s="1"/>
  <c r="AK53" i="29"/>
  <c r="AZ53" i="29" s="1"/>
  <c r="AK103" i="29"/>
  <c r="AZ103" i="29" s="1"/>
  <c r="AK90" i="29"/>
  <c r="AZ90" i="29" s="1"/>
  <c r="AK88" i="29"/>
  <c r="AZ88" i="29" s="1"/>
  <c r="AK42" i="29"/>
  <c r="AZ42" i="29" s="1"/>
  <c r="AK32" i="29"/>
  <c r="AZ32" i="29" s="1"/>
  <c r="AK31" i="29"/>
  <c r="AZ31" i="29" s="1"/>
  <c r="AK52" i="29"/>
  <c r="AZ52" i="29" s="1"/>
  <c r="AK104" i="29"/>
  <c r="AZ104" i="29" s="1"/>
  <c r="AK65" i="29"/>
  <c r="AZ65" i="29" s="1"/>
  <c r="AK102" i="29"/>
  <c r="AZ102" i="29" s="1"/>
  <c r="AK87" i="29"/>
  <c r="AZ87" i="29" s="1"/>
  <c r="AK10" i="29"/>
  <c r="AK20" i="29"/>
  <c r="AZ20" i="29" s="1"/>
  <c r="AK15" i="29"/>
  <c r="AZ15" i="29" s="1"/>
  <c r="AK45" i="29"/>
  <c r="AZ45" i="29" s="1"/>
  <c r="AK49" i="29"/>
  <c r="AZ49" i="29" s="1"/>
  <c r="AK77" i="29"/>
  <c r="AZ77" i="29" s="1"/>
  <c r="A49" i="19"/>
  <c r="AK129" i="30" l="1"/>
  <c r="AK128" i="30" s="1"/>
  <c r="AK10" i="30"/>
  <c r="AP131" i="30" l="1"/>
  <c r="AP130" i="30" s="1"/>
  <c r="AP10" i="30"/>
  <c r="AP129" i="30"/>
  <c r="AP128" i="30" s="1"/>
  <c r="AW4" i="23"/>
  <c r="BA4" i="23" s="1"/>
  <c r="AP195" i="30" l="1"/>
  <c r="AK19" i="30" l="1"/>
  <c r="AK61" i="30"/>
  <c r="V16" i="30"/>
  <c r="V37" i="30"/>
  <c r="V86" i="30"/>
  <c r="AK60" i="30" l="1"/>
  <c r="AK37" i="30"/>
  <c r="AK16" i="30"/>
  <c r="AK86" i="30"/>
  <c r="AK85" i="30" s="1"/>
  <c r="AP19" i="30"/>
  <c r="AP61" i="30"/>
  <c r="AP60" i="30" s="1"/>
  <c r="V13" i="30"/>
  <c r="AK13" i="30" l="1"/>
  <c r="AK12" i="30" s="1"/>
  <c r="AP37" i="30"/>
  <c r="AP16" i="30"/>
  <c r="AP86" i="30"/>
  <c r="AP85" i="30" s="1"/>
  <c r="AP13" i="30" l="1"/>
  <c r="AP12" i="30" s="1"/>
  <c r="V72" i="30" l="1"/>
  <c r="AK72" i="30" l="1"/>
  <c r="AK71" i="30" s="1"/>
  <c r="V53" i="30"/>
  <c r="V36" i="30"/>
  <c r="V11" i="30"/>
  <c r="AK11" i="30" l="1"/>
  <c r="AK53" i="30"/>
  <c r="AK51" i="30" s="1"/>
  <c r="AK36" i="30"/>
  <c r="AK34" i="30" s="1"/>
  <c r="AP72" i="30"/>
  <c r="AP71" i="30" s="1"/>
  <c r="V80" i="30"/>
  <c r="AK9" i="30" l="1"/>
  <c r="AK80" i="30"/>
  <c r="AK76" i="30" s="1"/>
  <c r="AP53" i="30"/>
  <c r="AP51" i="30" s="1"/>
  <c r="AP36" i="30"/>
  <c r="AP34" i="30" s="1"/>
  <c r="AP11" i="30"/>
  <c r="AP9" i="30" s="1"/>
  <c r="AP80" i="30" l="1"/>
  <c r="AP76" i="30" s="1"/>
  <c r="AP193" i="30" l="1"/>
  <c r="AP8" i="30" l="1"/>
</calcChain>
</file>

<file path=xl/comments1.xml><?xml version="1.0" encoding="utf-8"?>
<comments xmlns="http://schemas.openxmlformats.org/spreadsheetml/2006/main">
  <authors>
    <author>X1</author>
    <author>Dell</author>
    <author>A</author>
    <author>Thanh Luan Nguyen</author>
    <author>Admin</author>
  </authors>
  <commentList>
    <comment ref="L6" authorId="0" shapeId="0">
      <text>
        <r>
          <rPr>
            <b/>
            <sz val="9"/>
            <color indexed="81"/>
            <rFont val="Tahoma"/>
            <family val="2"/>
          </rPr>
          <t>X1:</t>
        </r>
        <r>
          <rPr>
            <sz val="9"/>
            <color indexed="81"/>
            <rFont val="Tahoma"/>
            <family val="2"/>
          </rPr>
          <t xml:space="preserve">
ĐỐI VỚI CV ĐÒI HỎI TRÁCH NHIỆM CAO - CẤP DƯỚI BAN GĐ</t>
        </r>
      </text>
    </comment>
    <comment ref="N6" authorId="0" shapeId="0">
      <text>
        <r>
          <rPr>
            <b/>
            <sz val="9"/>
            <color indexed="81"/>
            <rFont val="Tahoma"/>
            <family val="2"/>
          </rPr>
          <t>X1:</t>
        </r>
        <r>
          <rPr>
            <sz val="9"/>
            <color indexed="81"/>
            <rFont val="Tahoma"/>
            <family val="2"/>
          </rPr>
          <t xml:space="preserve">
ÁP DỤNG CHO CÁC VỊ TRÍ CẦN THU HÚT NHÂN SỰ, đặc biệt làm việc tại NM</t>
        </r>
      </text>
    </comment>
    <comment ref="S6" authorId="0" shapeId="0">
      <text>
        <r>
          <rPr>
            <b/>
            <sz val="9"/>
            <color indexed="81"/>
            <rFont val="Tahoma"/>
            <family val="2"/>
          </rPr>
          <t>X1:</t>
        </r>
        <r>
          <rPr>
            <sz val="9"/>
            <color indexed="81"/>
            <rFont val="Tahoma"/>
            <family val="2"/>
          </rPr>
          <t xml:space="preserve">
KHÁM CHỮA BỆNH Ở BẤT KỲ BV NÀO</t>
        </r>
      </text>
    </comment>
    <comment ref="T6" authorId="0" shapeId="0">
      <text>
        <r>
          <rPr>
            <b/>
            <sz val="9"/>
            <color indexed="81"/>
            <rFont val="Tahoma"/>
            <family val="2"/>
          </rPr>
          <t>X1:</t>
        </r>
        <r>
          <rPr>
            <sz val="9"/>
            <color indexed="81"/>
            <rFont val="Tahoma"/>
            <family val="2"/>
          </rPr>
          <t xml:space="preserve">
cân đối lương cho phu hợp hiện tại và thị trường
</t>
        </r>
      </text>
    </comment>
    <comment ref="AP14" authorId="1" shapeId="0">
      <text>
        <r>
          <rPr>
            <b/>
            <sz val="9"/>
            <color indexed="81"/>
            <rFont val="Tahoma"/>
            <family val="2"/>
          </rPr>
          <t>X1:
những người tô màu xanh có công thức tính lương /30 ngày công</t>
        </r>
      </text>
    </comment>
    <comment ref="V21" authorId="0" shapeId="0">
      <text>
        <r>
          <rPr>
            <b/>
            <sz val="9"/>
            <color indexed="81"/>
            <rFont val="Tahoma"/>
            <family val="2"/>
          </rPr>
          <t>X1:</t>
        </r>
        <r>
          <rPr>
            <sz val="9"/>
            <color indexed="81"/>
            <rFont val="Tahoma"/>
            <family val="2"/>
          </rPr>
          <t xml:space="preserve">
thu viec = 85% chinh thuc</t>
        </r>
      </text>
    </comment>
    <comment ref="AM23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Tháng 05 báo tăng</t>
        </r>
      </text>
    </comment>
    <comment ref="AM31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Báo tăng tháng 06/2018</t>
        </r>
      </text>
    </comment>
    <comment ref="AJ35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3 đêm trực quản lý nhóm ca 2</t>
        </r>
      </text>
    </comment>
    <comment ref="V40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Thử việc 2 tháng = 85%</t>
        </r>
      </text>
    </comment>
    <comment ref="W41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24 ngày công chính thức</t>
        </r>
      </text>
    </comment>
    <comment ref="V42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Thử việc 2 tháng = 85%</t>
        </r>
      </text>
    </comment>
    <comment ref="W43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7 ngày công chính thức</t>
        </r>
      </text>
    </comment>
    <comment ref="AM45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Báo tăng tháng 06/2018</t>
        </r>
      </text>
    </comment>
    <comment ref="V50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Mức thử việc 2 tháng = 85%</t>
        </r>
      </text>
    </comment>
    <comment ref="C56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Ngày qua Dự Án là 12/03/2018</t>
        </r>
      </text>
    </comment>
    <comment ref="V59" authorId="0" shapeId="0">
      <text>
        <r>
          <rPr>
            <b/>
            <sz val="9"/>
            <color indexed="81"/>
            <rFont val="Tahoma"/>
            <family val="2"/>
          </rPr>
          <t>X1:</t>
        </r>
        <r>
          <rPr>
            <sz val="9"/>
            <color indexed="81"/>
            <rFont val="Tahoma"/>
            <family val="2"/>
          </rPr>
          <t xml:space="preserve">
thu viec = 85% chinh thuc</t>
        </r>
      </text>
    </comment>
    <comment ref="AJ62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2 đêm trực quản lý nhóm ca 2</t>
        </r>
      </text>
    </comment>
    <comment ref="V64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Thử việc 2 tháng 85%</t>
        </r>
      </text>
    </comment>
    <comment ref="AM66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Báo tăng tháng 05</t>
        </r>
      </text>
    </comment>
    <comment ref="D68" authorId="2" shapeId="0">
      <text>
        <r>
          <rPr>
            <b/>
            <sz val="9"/>
            <color indexed="81"/>
            <rFont val="Tahoma"/>
            <family val="2"/>
            <charset val="163"/>
          </rPr>
          <t>A: 16/07/2018</t>
        </r>
        <r>
          <rPr>
            <sz val="9"/>
            <color indexed="81"/>
            <rFont val="Tahoma"/>
            <family val="2"/>
            <charset val="163"/>
          </rPr>
          <t xml:space="preserve">
</t>
        </r>
      </text>
    </comment>
    <comment ref="V68" authorId="0" shapeId="0">
      <text>
        <r>
          <rPr>
            <b/>
            <sz val="9"/>
            <color indexed="81"/>
            <rFont val="Tahoma"/>
            <family val="2"/>
            <charset val="163"/>
          </rPr>
          <t>X1:</t>
        </r>
        <r>
          <rPr>
            <sz val="9"/>
            <color indexed="81"/>
            <rFont val="Tahoma"/>
            <family val="2"/>
            <charset val="163"/>
          </rPr>
          <t xml:space="preserve">
THU VIEC cho vị trí mới là Quản lý PTN từ 16/07/2018</t>
        </r>
      </text>
    </comment>
    <comment ref="AM72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Báo tăng tháng 06/2018</t>
        </r>
      </text>
    </comment>
    <comment ref="AJ78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Hỗ trợ xăng và điện thoại, giám sát bùn Yasuda</t>
        </r>
      </text>
    </comment>
    <comment ref="AM79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Tháng 05 báo tăng</t>
        </r>
      </text>
    </comment>
    <comment ref="AM80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Báo tăng tháng 06</t>
        </r>
      </text>
    </comment>
    <comment ref="V82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Mức thử việc</t>
        </r>
      </text>
    </comment>
    <comment ref="V94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Mức thử việc 85%
</t>
        </r>
      </text>
    </comment>
    <comment ref="AM95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Báo tăng tháng 05</t>
        </r>
      </text>
    </comment>
    <comment ref="AM101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Tháng 05 báo tăng</t>
        </r>
      </text>
    </comment>
    <comment ref="C104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Tháng này chuyển qua VHM XLB</t>
        </r>
      </text>
    </comment>
    <comment ref="AJ107" authorId="0" shapeId="0">
      <text>
        <r>
          <rPr>
            <b/>
            <sz val="9"/>
            <color indexed="81"/>
            <rFont val="Tahoma"/>
            <family val="2"/>
            <charset val="163"/>
          </rPr>
          <t>X1:</t>
        </r>
        <r>
          <rPr>
            <sz val="9"/>
            <color indexed="81"/>
            <rFont val="Tahoma"/>
            <family val="2"/>
            <charset val="163"/>
          </rPr>
          <t xml:space="preserve">
3 đêm truc quan ly nhom lam viec ca 2</t>
        </r>
      </text>
    </comment>
    <comment ref="V108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Thử việc = 85% lương chính thức</t>
        </r>
      </text>
    </comment>
    <comment ref="D110" authorId="0" shapeId="0">
      <text>
        <r>
          <rPr>
            <b/>
            <sz val="9"/>
            <color indexed="81"/>
            <rFont val="Tahoma"/>
            <family val="2"/>
            <charset val="163"/>
          </rPr>
          <t>X1:</t>
        </r>
        <r>
          <rPr>
            <sz val="9"/>
            <color indexed="81"/>
            <rFont val="Tahoma"/>
            <family val="2"/>
            <charset val="163"/>
          </rPr>
          <t xml:space="preserve">
chuyen sang tu thang 6</t>
        </r>
      </text>
    </comment>
    <comment ref="AJ110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3 đêm trực quản lý nhóm ca 2</t>
        </r>
      </text>
    </comment>
    <comment ref="AM112" authorId="3" shapeId="0">
      <text>
        <r>
          <rPr>
            <b/>
            <sz val="9"/>
            <color indexed="81"/>
            <rFont val="Tahoma"/>
            <family val="2"/>
          </rPr>
          <t>Thanh Luan Nguyen:</t>
        </r>
        <r>
          <rPr>
            <sz val="9"/>
            <color indexed="81"/>
            <rFont val="Tahoma"/>
            <family val="2"/>
          </rPr>
          <t xml:space="preserve">
Báo tăng tháng 08</t>
        </r>
      </text>
    </comment>
    <comment ref="AJ113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Trực 3 đêm quản lý nhóm ca 2</t>
        </r>
      </text>
    </comment>
    <comment ref="V114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Thử việc = 85% lương chính thức</t>
        </r>
      </text>
    </comment>
    <comment ref="C115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Chuyển bộ phận từ tháng 04/2018</t>
        </r>
      </text>
    </comment>
    <comment ref="AM115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Báo tăng tháng 06</t>
        </r>
      </text>
    </comment>
    <comment ref="V116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Thử việc = 85% lương chính thức</t>
        </r>
      </text>
    </comment>
    <comment ref="V117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Thử việc = 85% lương chính thức</t>
        </r>
      </text>
    </comment>
    <comment ref="W118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23 ngày công chính thức</t>
        </r>
      </text>
    </comment>
    <comment ref="C124" authorId="4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Tổ phó sx qua làm QC từ ngày 26/03/2018
</t>
        </r>
      </text>
    </comment>
    <comment ref="V132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Thử việc = 85% lương chính thức</t>
        </r>
      </text>
    </comment>
    <comment ref="AE132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Tô vàng là KPI thử việc</t>
        </r>
      </text>
    </comment>
    <comment ref="D133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Sale Admin - lấy mức NV sale</t>
        </r>
      </text>
    </comment>
    <comment ref="V133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Mức thử việc 85%</t>
        </r>
      </text>
    </comment>
    <comment ref="V135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Mức thử việc 85%</t>
        </r>
      </text>
    </comment>
    <comment ref="V144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Mức thử việc của Đại diện KD tỉnh</t>
        </r>
      </text>
    </comment>
    <comment ref="W145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12 ngày công thử việc</t>
        </r>
      </text>
    </comment>
    <comment ref="W146" authorId="2" shapeId="0">
      <text>
        <r>
          <rPr>
            <b/>
            <sz val="9"/>
            <color indexed="81"/>
            <rFont val="Tahoma"/>
            <charset val="163"/>
          </rPr>
          <t>A:</t>
        </r>
        <r>
          <rPr>
            <sz val="9"/>
            <color indexed="81"/>
            <rFont val="Tahoma"/>
            <charset val="163"/>
          </rPr>
          <t xml:space="preserve">
15 ngày công chính thức</t>
        </r>
      </text>
    </comment>
    <comment ref="U147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Kiêm mảng Maketing &amp; KD bùn khác</t>
        </r>
      </text>
    </comment>
    <comment ref="J161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Lương cứng theo tháng (chạy bùn)</t>
        </r>
      </text>
    </comment>
    <comment ref="AC161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Lương khoán: 10,500k
Không tính doanh thu, số chuyến.</t>
        </r>
      </text>
    </comment>
    <comment ref="AM161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Báo tăng tháng 06</t>
        </r>
      </text>
    </comment>
    <comment ref="AM162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Báo tăng tháng 06</t>
        </r>
      </text>
    </comment>
    <comment ref="AM163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Báo tăng tháng 06</t>
        </r>
      </text>
    </comment>
    <comment ref="AM169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Báo tăng tháng 05</t>
        </r>
      </text>
    </comment>
    <comment ref="AD172" authorId="2" shapeId="0">
      <text>
        <r>
          <rPr>
            <b/>
            <sz val="9"/>
            <color indexed="81"/>
            <rFont val="Tahoma"/>
            <family val="2"/>
            <charset val="163"/>
          </rPr>
          <t>Phụ xe 8 Tấn k tính công bốc đối với các Tỉnh đã thuê đội bốc (DT); chỉ tính hỗ trợ tiền đi Tỉnh
P/s: tháng nào Logistics gởi thì tính.</t>
        </r>
      </text>
    </comment>
    <comment ref="AM186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Báo tăng tháng 06</t>
        </r>
      </text>
    </comment>
    <comment ref="AM187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Báo tăng tháng 06</t>
        </r>
      </text>
    </comment>
    <comment ref="W189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Trong này có 5 ngày bóc bùn cho Thu Giang nên không tính lương 5 ngày này</t>
        </r>
      </text>
    </comment>
    <comment ref="J190" authorId="2" shapeId="0">
      <text>
        <r>
          <rPr>
            <b/>
            <sz val="9"/>
            <color indexed="81"/>
            <rFont val="Tahoma"/>
            <family val="2"/>
            <charset val="163"/>
          </rPr>
          <t>A:</t>
        </r>
        <r>
          <rPr>
            <sz val="9"/>
            <color indexed="81"/>
            <rFont val="Tahoma"/>
            <family val="2"/>
            <charset val="163"/>
          </rPr>
          <t xml:space="preserve">
A Trường báo từ tháng 5 này: tính lương CB theo Phụ xe + số chuyến + doanh số bốc hàng</t>
        </r>
      </text>
    </comment>
  </commentList>
</comments>
</file>

<file path=xl/comments2.xml><?xml version="1.0" encoding="utf-8"?>
<comments xmlns="http://schemas.openxmlformats.org/spreadsheetml/2006/main">
  <authors>
    <author>Q.Phương</author>
    <author xml:space="preserve">Nguyen </author>
    <author>X1</author>
  </authors>
  <commentList>
    <comment ref="AD2" authorId="0" shapeId="0">
      <text>
        <r>
          <rPr>
            <b/>
            <sz val="9"/>
            <color indexed="81"/>
            <rFont val="Tahoma"/>
            <family val="2"/>
          </rPr>
          <t>tinh nghi phep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2" authorId="0" shapeId="0">
      <text>
        <r>
          <rPr>
            <b/>
            <sz val="9"/>
            <color indexed="81"/>
            <rFont val="Tahoma"/>
            <family val="2"/>
          </rPr>
          <t>tinh nghi phep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4" authorId="1" shapeId="0">
      <text>
        <r>
          <rPr>
            <b/>
            <sz val="9"/>
            <color indexed="81"/>
            <rFont val="Tahoma"/>
            <family val="2"/>
          </rPr>
          <t>2 ngay Cty di choi</t>
        </r>
      </text>
    </comment>
    <comment ref="B34" authorId="1" shapeId="0">
      <text>
        <r>
          <rPr>
            <b/>
            <sz val="9"/>
            <color indexed="81"/>
            <rFont val="Tahoma"/>
            <family val="2"/>
          </rPr>
          <t>NV lam thoi vu 2 thang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45" authorId="2" shapeId="0">
      <text>
        <r>
          <rPr>
            <b/>
            <sz val="9"/>
            <color indexed="81"/>
            <rFont val="Tahoma"/>
            <family val="2"/>
          </rPr>
          <t>X1:</t>
        </r>
        <r>
          <rPr>
            <sz val="9"/>
            <color indexed="81"/>
            <rFont val="Tahoma"/>
            <family val="2"/>
          </rPr>
          <t xml:space="preserve">
3 ngay cua nam 2016</t>
        </r>
      </text>
    </comment>
  </commentList>
</comments>
</file>

<file path=xl/sharedStrings.xml><?xml version="1.0" encoding="utf-8"?>
<sst xmlns="http://schemas.openxmlformats.org/spreadsheetml/2006/main" count="1034" uniqueCount="803">
  <si>
    <t>TT</t>
  </si>
  <si>
    <t>Nguyeãn Vaên Thaûo</t>
  </si>
  <si>
    <t>Ngoâ .T. Phan Hieàn</t>
  </si>
  <si>
    <t>Nguyeãn Ngoïc Höng</t>
  </si>
  <si>
    <t>Phuï xe</t>
  </si>
  <si>
    <t>Maõ NV</t>
  </si>
  <si>
    <t>Lương CB</t>
  </si>
  <si>
    <t>Coäng</t>
  </si>
  <si>
    <t>Leâ Thanh Huy</t>
  </si>
  <si>
    <t>BHXH BHYT</t>
  </si>
  <si>
    <t>Nguyeãn T. Hoàng Aùnh</t>
  </si>
  <si>
    <t>Ñoàng Anh Tuaán</t>
  </si>
  <si>
    <t>Huyønh Thanh Lieâm</t>
  </si>
  <si>
    <t>Nguyeãn Hoàng Nam</t>
  </si>
  <si>
    <t>Phaïm Vieät Nam</t>
  </si>
  <si>
    <t>BAÛNG TOÅNG HÔÏP NGAØY PHEÙP</t>
  </si>
  <si>
    <t xml:space="preserve">Thaùng 1 </t>
  </si>
  <si>
    <t>Thaùng 2</t>
  </si>
  <si>
    <t>Thaùng 3</t>
  </si>
  <si>
    <t>Thaùng 4</t>
  </si>
  <si>
    <t>Thaùng 5</t>
  </si>
  <si>
    <t>Thaùng 6</t>
  </si>
  <si>
    <t>Thaùng 7</t>
  </si>
  <si>
    <t>Thaùng 8</t>
  </si>
  <si>
    <t>Thaùng 9</t>
  </si>
  <si>
    <t>Thaùng 10</t>
  </si>
  <si>
    <t>Thaùng 11</t>
  </si>
  <si>
    <t>Thaùng 12</t>
  </si>
  <si>
    <t>Toång hôïp</t>
  </si>
  <si>
    <t>Tröông Quyù Ngoan</t>
  </si>
  <si>
    <t>Nguyeãn Tuaán Anh</t>
  </si>
  <si>
    <t>Döông Leâ Hoàng Phieán</t>
  </si>
  <si>
    <t>Phaïm Thaønh</t>
  </si>
  <si>
    <t>Ninh Phöông Haïnh</t>
  </si>
  <si>
    <t>Leâ Coâng Nhaát Trung</t>
  </si>
  <si>
    <t>Nguyeãn Vaên Chung</t>
  </si>
  <si>
    <t>Nguyeãn Ñoã Q. Phöông</t>
  </si>
  <si>
    <t>Leâ Hoaøng Tuaán</t>
  </si>
  <si>
    <t>Leâ Hoaøng Phuùc</t>
  </si>
  <si>
    <t>Nguyeãn Thaønh Ngoan</t>
  </si>
  <si>
    <t>Nguyeãn Thanh Tuøng</t>
  </si>
  <si>
    <t>Ngoâ Theá Giang</t>
  </si>
  <si>
    <t>Buøi Ngoïc Tuaán</t>
  </si>
  <si>
    <t>Nguyeãn Huyønh Coâng Thaêng</t>
  </si>
  <si>
    <t>Traàn Vaên Vò Toaøn</t>
  </si>
  <si>
    <t>Nguyeãn Vaên Baûy</t>
  </si>
  <si>
    <t>Cao Hieäp Thöông</t>
  </si>
  <si>
    <t>Nguyeãn Troïng Thaùi</t>
  </si>
  <si>
    <t>Hoaøng Giaùng Sinh</t>
  </si>
  <si>
    <t>Nguyeãn Thanh Cöôøng</t>
  </si>
  <si>
    <t>Nguyeãn Ngoïc Hieáu</t>
  </si>
  <si>
    <t>Ngoâ Maïnh Linh trưởng bộ phận</t>
  </si>
  <si>
    <t>Phan Thanh Tuøng (Trưởng bộ phận)</t>
  </si>
  <si>
    <t>Nguyeãn Hoàng Haûi (trưởng bộ phận)</t>
  </si>
  <si>
    <t>Nguyễn Văn Linh</t>
  </si>
  <si>
    <t>STT</t>
  </si>
  <si>
    <t>Nguyeãn Taán Linh</t>
  </si>
  <si>
    <t>Phaïm Thanh Tuøng</t>
  </si>
  <si>
    <t>Nguyeãn Vaên Khaùnh</t>
  </si>
  <si>
    <t>Ñaëng Duy Phöông</t>
  </si>
  <si>
    <t xml:space="preserve">Nguyeãn Cöôøng </t>
  </si>
  <si>
    <t>Nguyeãn Thò Thô</t>
  </si>
  <si>
    <t>Phaïm Vaên Phuù</t>
  </si>
  <si>
    <t>Buøi Minh Kieät</t>
  </si>
  <si>
    <t>Phaïm Thò Nhaãn</t>
  </si>
  <si>
    <t>Nguyeãn Thoï Ngoïc</t>
  </si>
  <si>
    <t>Leâ Minh Trung</t>
  </si>
  <si>
    <t>Leâ Ñöùc Bình</t>
  </si>
  <si>
    <t>BOÄ PHAÄN BAÙN HAØNG</t>
  </si>
  <si>
    <t>BOÄ PHAÄN TAØI XEÁ</t>
  </si>
  <si>
    <t>MÖÙC ÑAÏT</t>
  </si>
  <si>
    <t>Xe nhoû</t>
  </si>
  <si>
    <t>xe lôùn</t>
  </si>
  <si>
    <t>soá chuyeán vöôït</t>
  </si>
  <si>
    <t>Tieàn</t>
  </si>
  <si>
    <t>tieàn</t>
  </si>
  <si>
    <t>Coäng doanh soá</t>
  </si>
  <si>
    <t>Möùc ñaït</t>
  </si>
  <si>
    <t>Coäng soá chuyeán</t>
  </si>
  <si>
    <t>ÑVT: 1.000ñ</t>
  </si>
  <si>
    <t>Ñaït möùc 1</t>
  </si>
  <si>
    <t>Ñaït möùc 2</t>
  </si>
  <si>
    <t>Ñaït möùc 3</t>
  </si>
  <si>
    <t>Möùc 1: 1,7t</t>
  </si>
  <si>
    <t>Möùc 2: 2,4t</t>
  </si>
  <si>
    <t>Möùc 3: 3t</t>
  </si>
  <si>
    <t>Vuøng 1</t>
  </si>
  <si>
    <t>Soùng thaàn</t>
  </si>
  <si>
    <t>GIAO NHAÄN</t>
  </si>
  <si>
    <t>Tieàn Vuøng 1</t>
  </si>
  <si>
    <t>Tieàn Soùng Thaàn</t>
  </si>
  <si>
    <t>SALE ADMIN</t>
  </si>
  <si>
    <t>QUAÛN LYÙ GIAO NHAÄN</t>
  </si>
  <si>
    <t>QUAÛN LYÙ ÑIEÀU XE</t>
  </si>
  <si>
    <t>Khaâu Phöôùc Taøi</t>
  </si>
  <si>
    <t xml:space="preserve">Nguyeãn Thaùi Ngaân </t>
  </si>
  <si>
    <t>Nguyeãn Vaên Tuaán</t>
  </si>
  <si>
    <t>Leâ Taán Duõng</t>
  </si>
  <si>
    <t>Nguyễn Thọ Ngọc</t>
  </si>
  <si>
    <t>Nguyeãn Hoaøi Thanh</t>
  </si>
  <si>
    <t>Traàn Thò Thanh Xuaân</t>
  </si>
  <si>
    <t>Phan Thanh Tuøng</t>
  </si>
  <si>
    <t>Trịnh Minh Hảo (Trưởng BP sale)</t>
  </si>
  <si>
    <t>06/2014</t>
  </si>
  <si>
    <t>11/2014</t>
  </si>
  <si>
    <t>6/2014</t>
  </si>
  <si>
    <t>8/2014</t>
  </si>
  <si>
    <t>3/2012</t>
  </si>
  <si>
    <t>4/2013</t>
  </si>
  <si>
    <t>Voõ Thò Hoàng Ñaøo</t>
  </si>
  <si>
    <t>Traàn Minh Long</t>
  </si>
  <si>
    <t>Chaâu Phöôùc Thuaàn</t>
  </si>
  <si>
    <t>Ñaøo Ngoïc Long</t>
  </si>
  <si>
    <t>Nguyeãn Thò Myõ Haïnh</t>
  </si>
  <si>
    <t>Döông Tấn Ñaït</t>
  </si>
  <si>
    <t>Ngaøy pheùp coøn trong naêm tröôùc</t>
  </si>
  <si>
    <t>Nguyeãn Thò Thuøy Ly</t>
  </si>
  <si>
    <t>Ñaëng Quoác Coïp</t>
  </si>
  <si>
    <t>Ngoâ Quoác Huy</t>
  </si>
  <si>
    <t>Traàn Vaên Tuaán</t>
  </si>
  <si>
    <t>Nguyeãn Nguyeân Nguyeân</t>
  </si>
  <si>
    <t>Ngoâ Pa Ri</t>
  </si>
  <si>
    <t>Nguyeãn Thò Giang</t>
  </si>
  <si>
    <t>Nguyeãn Duy Long</t>
  </si>
  <si>
    <t>Nguyeãn Traàn Duy Anh</t>
  </si>
  <si>
    <t>Nguyeãn Vaên Thoâng</t>
  </si>
  <si>
    <t>Leâ Xuaân Kim</t>
  </si>
  <si>
    <t>Nguyeãn Thoáng Nhaát</t>
  </si>
  <si>
    <t>Huyønh Quoác Huøng</t>
  </si>
  <si>
    <t>Traàn Thanh Long</t>
  </si>
  <si>
    <t>Ñoã Thanh Tuù</t>
  </si>
  <si>
    <t>Thaïch Minh Chaâu</t>
  </si>
  <si>
    <t>Nguyeãn Ñöùc Cöôøng</t>
  </si>
  <si>
    <t>Leâ Nho Khaùnh</t>
  </si>
  <si>
    <t>Ngoâ Quoác Taøi</t>
  </si>
  <si>
    <t>Voõ Thò Haèøng</t>
  </si>
  <si>
    <t>Leâ Vaên Cöôøng</t>
  </si>
  <si>
    <t>Huyønh Minh Hoaøng</t>
  </si>
  <si>
    <t>Leâ Ñaéc Cöôøng</t>
  </si>
  <si>
    <t>Nguyeãn Thò Phi Lanh</t>
  </si>
  <si>
    <t>Nguyeãn Ngoïc Ñoâng</t>
  </si>
  <si>
    <t>Töø Thò Hoaøng Oanh</t>
  </si>
  <si>
    <t>Ban KSNB - NB</t>
  </si>
  <si>
    <t>Phoøng TCKT - KT</t>
  </si>
  <si>
    <t>Ban XDCB - XD</t>
  </si>
  <si>
    <t>Phoøng HCNS - NS</t>
  </si>
  <si>
    <t>Ban Vaät tö -VT</t>
  </si>
  <si>
    <t>Ban Döï aùn - DA</t>
  </si>
  <si>
    <t>Trung taâm NC KHCN -TT</t>
  </si>
  <si>
    <t>DS THAM GIA BHXH</t>
  </si>
  <si>
    <t>Traàn Vaên Haø</t>
  </si>
  <si>
    <t>Nguyeãn Thò Thuùy Dieãm</t>
  </si>
  <si>
    <t>Vuõ Thò Loan</t>
  </si>
  <si>
    <t>Toå laùi</t>
  </si>
  <si>
    <t>Sale</t>
  </si>
  <si>
    <t>Giao nhaän</t>
  </si>
  <si>
    <t>Qlyù + Sale Admin</t>
  </si>
  <si>
    <t>Nguyeãn Trinh Nguyeân</t>
  </si>
  <si>
    <t>Cao Xuaân Vuõ</t>
  </si>
  <si>
    <t>Nguyeãn Phan Höng</t>
  </si>
  <si>
    <t>Traàn Thò Minh Thöông</t>
  </si>
  <si>
    <t>QUAÛN LYÙ SALE TPHCM</t>
  </si>
  <si>
    <t>QUAÛN LYÙ SALE TÆNH</t>
  </si>
  <si>
    <t>Ñoaøn Phan Quoác Anh</t>
  </si>
  <si>
    <t>Nguyeãn Ñình Höôùng</t>
  </si>
  <si>
    <t>Nguyeãn Ñöùc Trung</t>
  </si>
  <si>
    <t>Ngaøy vaøo laøm</t>
  </si>
  <si>
    <t>Dö 2015</t>
  </si>
  <si>
    <t>Dö 2016</t>
  </si>
  <si>
    <t>DANH SAÙCH NGHÆ PHEÙP NAÊM</t>
  </si>
  <si>
    <t>NAÊM</t>
  </si>
  <si>
    <t>THAÙNG</t>
  </si>
  <si>
    <t>NGAØY</t>
  </si>
  <si>
    <t>TIME LAØM VIEÄC</t>
  </si>
  <si>
    <t>6 thaùng</t>
  </si>
  <si>
    <t>NS06</t>
  </si>
  <si>
    <t>Giang Coâng Danh</t>
  </si>
  <si>
    <t>Leâ Thò Anh Thö</t>
  </si>
  <si>
    <t>Danh Thöøa</t>
  </si>
  <si>
    <t>6/2010</t>
  </si>
  <si>
    <t>06/2010</t>
  </si>
  <si>
    <t>01/2004</t>
  </si>
  <si>
    <t>11/2006</t>
  </si>
  <si>
    <t>04/2008</t>
  </si>
  <si>
    <t>01/2010</t>
  </si>
  <si>
    <t>07/2010</t>
  </si>
  <si>
    <t>11/2010</t>
  </si>
  <si>
    <t>10/2014</t>
  </si>
  <si>
    <t>7/2015</t>
  </si>
  <si>
    <t>9/2015</t>
  </si>
  <si>
    <t>4/2016</t>
  </si>
  <si>
    <t>Danh Xaø Quaùch</t>
  </si>
  <si>
    <t xml:space="preserve"> </t>
  </si>
  <si>
    <t>Nguyeãn Minh Ñaïi</t>
  </si>
  <si>
    <t>Chaâu Kim Löôïng</t>
  </si>
  <si>
    <t>Kieàu Thò Thuûy Tieân</t>
  </si>
  <si>
    <t>Huuyønh Ngoïc Giang</t>
  </si>
  <si>
    <t>Haø Thaønh Ñaït</t>
  </si>
  <si>
    <t>Döông Nguyeãn Vuõ Baûo</t>
  </si>
  <si>
    <t>Huyønh Troïng Nghóa</t>
  </si>
  <si>
    <t>Thaïch Ngoïc Kieàu</t>
  </si>
  <si>
    <t>Traàn Ngoïc Thaïch</t>
  </si>
  <si>
    <t>Ñoã Thanh Haøo</t>
  </si>
  <si>
    <t>Nguyeãn Ngoïc Hieån</t>
  </si>
  <si>
    <t>Nguyeãn Hoaøng Thoaïi</t>
  </si>
  <si>
    <t>Nguyeãn Vaên Huy</t>
  </si>
  <si>
    <t>Phan Thaønh Phuùc</t>
  </si>
  <si>
    <t>Nguyeãn Anh Tuaán</t>
  </si>
  <si>
    <t>Danh Ñaû</t>
  </si>
  <si>
    <t>Trieäu Minh Thaéng</t>
  </si>
  <si>
    <t>khoái löôïng buøn bia</t>
  </si>
  <si>
    <t>Tieàn /taán</t>
  </si>
  <si>
    <t>Đỗ Ngọc Thien Thanh</t>
  </si>
  <si>
    <t>Kinh doanh</t>
  </si>
  <si>
    <t>Ñoùng BH</t>
  </si>
  <si>
    <t>Nghæ</t>
  </si>
  <si>
    <t>TC</t>
  </si>
  <si>
    <t>Logistics</t>
  </si>
  <si>
    <t>Leâ Hoaøng Khang</t>
  </si>
  <si>
    <t>Danh Ngoøi</t>
  </si>
  <si>
    <t>12 naêm 1 thaùng 20 ngay</t>
  </si>
  <si>
    <t>khoâng tinh chuyen (löông thaùng)</t>
  </si>
  <si>
    <t>33 chuyeán T9</t>
  </si>
  <si>
    <t>Đặng Nguyễn Thế Anh</t>
  </si>
  <si>
    <t>Nguyễn Đức Cường</t>
  </si>
  <si>
    <t>Möùc ñaït TPHCM</t>
  </si>
  <si>
    <t>Möùc ñaït TỈNH</t>
  </si>
  <si>
    <t>Bậc</t>
  </si>
  <si>
    <t>Thâm niên</t>
  </si>
  <si>
    <t>PHỤ CẤP (P2)</t>
  </si>
  <si>
    <t>PHÚC LỢI KHÁC (P2)</t>
  </si>
  <si>
    <t>Lương khác</t>
  </si>
  <si>
    <t xml:space="preserve"> Năm </t>
  </si>
  <si>
    <t xml:space="preserve"> Tháng </t>
  </si>
  <si>
    <t xml:space="preserve"> Ngày </t>
  </si>
  <si>
    <t>NẶNG NHỌC ĐỘC HẠI</t>
  </si>
  <si>
    <t>TRÁCH NHIỆM</t>
  </si>
  <si>
    <t>THÂM NIÊN</t>
  </si>
  <si>
    <t>THU HÚT</t>
  </si>
  <si>
    <t>XĂNG</t>
  </si>
  <si>
    <t>ĐIỆN THOẠI</t>
  </si>
  <si>
    <t>NHÀ Ở</t>
  </si>
  <si>
    <t>Kiêm nhiệm</t>
  </si>
  <si>
    <t>BHYT ĐẶC BIỆT</t>
  </si>
  <si>
    <t>VỊ TRÍ CẦN KN NHIỀU NĂM</t>
  </si>
  <si>
    <t>Vị trí đặc thù</t>
  </si>
  <si>
    <t>TỔNG GIÁM ĐỐC</t>
  </si>
  <si>
    <t>GIÁM ĐỐC HCNS</t>
  </si>
  <si>
    <t>Bảo vệ</t>
  </si>
  <si>
    <t>Nhân viên hành chính/ HCNS NM</t>
  </si>
  <si>
    <t>Trưởng phòng quản lý chất lượng sản phẩm</t>
  </si>
  <si>
    <t>Chuyên viên pháp chế</t>
  </si>
  <si>
    <t>Thủ quỹ</t>
  </si>
  <si>
    <t xml:space="preserve"> Kế toán nội bộ</t>
  </si>
  <si>
    <t>GIÁM ĐỐC NHÀ MÁY</t>
  </si>
  <si>
    <t>Tổ trưởng điều độ sản xuất</t>
  </si>
  <si>
    <t>Trưởng phòng điều độ cơ giới</t>
  </si>
  <si>
    <t>CV thu mua vật tư</t>
  </si>
  <si>
    <t>TRƯỞNG BAN DỰ ÁN CÔNG</t>
  </si>
  <si>
    <t>NV triển khai thực hiện dự án</t>
  </si>
  <si>
    <t>NV nghiệm thu thanh toán</t>
  </si>
  <si>
    <t>Tổ trưởng GS môi trường</t>
  </si>
  <si>
    <t>CV môi trường</t>
  </si>
  <si>
    <t>NV Phòng thí nghiệm</t>
  </si>
  <si>
    <t>NV04</t>
  </si>
  <si>
    <t>Chề A Sắt</t>
  </si>
  <si>
    <t>Tổ trưởng bảo vệ</t>
  </si>
  <si>
    <t>KHO</t>
  </si>
  <si>
    <t>Nguyễn Trường Thạch</t>
  </si>
  <si>
    <t>NV kho</t>
  </si>
  <si>
    <t>Phương Bình</t>
  </si>
  <si>
    <t>Giám sát kho</t>
  </si>
  <si>
    <t>NV14</t>
  </si>
  <si>
    <t>Đồng Tấn Tài</t>
  </si>
  <si>
    <t>Nhân viên thống kê vận hành</t>
  </si>
  <si>
    <t>QUẢN LÝ TRẠM CÂN</t>
  </si>
  <si>
    <t>Nguyễn Văn Thanh</t>
  </si>
  <si>
    <t>Quản lý trạm cân</t>
  </si>
  <si>
    <t>Nguyễn Hùng Dũng</t>
  </si>
  <si>
    <t>NV trạm cân</t>
  </si>
  <si>
    <t>Danh Thủy</t>
  </si>
  <si>
    <t>CƠ ĐIỆN</t>
  </si>
  <si>
    <t>Đào Công Thắng</t>
  </si>
  <si>
    <t>Tổ trưởng bảo trì cơ điện</t>
  </si>
  <si>
    <t>Nguyễn Thanh Nhàn</t>
  </si>
  <si>
    <t>Tổ phó bảo trì</t>
  </si>
  <si>
    <t>Nguyễn Thanh Lâm</t>
  </si>
  <si>
    <t>Nhân viên bảo trì cơ khí</t>
  </si>
  <si>
    <t>NV26</t>
  </si>
  <si>
    <t>Nguyễn Đình Huệ</t>
  </si>
  <si>
    <t>Trưởng phòng điều độ nhân lực</t>
  </si>
  <si>
    <t>CHỦ TỊCH</t>
  </si>
  <si>
    <t>Chuyên viên IT</t>
  </si>
  <si>
    <t>Nhân viên IT</t>
  </si>
  <si>
    <t>TRƯỞNG BAN ĐMCC</t>
  </si>
  <si>
    <t>GIÁM ĐỐC TCKT</t>
  </si>
  <si>
    <t>Kế toán quản lý thuế</t>
  </si>
  <si>
    <t>Kế toán quản trị</t>
  </si>
  <si>
    <t>Chuyên viên tài chính</t>
  </si>
  <si>
    <t>TRƯỞNG BAN KẾ HOẠCH VẬT TƯ</t>
  </si>
  <si>
    <t>GIÁM ĐỐC TTNC</t>
  </si>
  <si>
    <t>CV nghiên cứu ứng dụng SP</t>
  </si>
  <si>
    <t xml:space="preserve"> TT06</t>
  </si>
  <si>
    <t>GIÁM ĐỐC LOGISTICS</t>
  </si>
  <si>
    <t>Cao Thị Minh Thoa</t>
  </si>
  <si>
    <t>Công nhân các BP Nghiên cứu</t>
  </si>
  <si>
    <t>NV05</t>
  </si>
  <si>
    <t>Nguyễn Tiến Khanh</t>
  </si>
  <si>
    <t>Mai Thanh Điền</t>
  </si>
  <si>
    <t>Nguyễn Tấn Lộc</t>
  </si>
  <si>
    <t>Lương Minh Hòa</t>
  </si>
  <si>
    <t>Đổng Ngọc Trung</t>
  </si>
  <si>
    <t>Tổ trưởng vận hành máy</t>
  </si>
  <si>
    <t xml:space="preserve"> LĐ01 </t>
  </si>
  <si>
    <t xml:space="preserve"> LĐ02 </t>
  </si>
  <si>
    <t xml:space="preserve"> NS01 </t>
  </si>
  <si>
    <t xml:space="preserve"> NS02 </t>
  </si>
  <si>
    <t xml:space="preserve"> NS04 </t>
  </si>
  <si>
    <t xml:space="preserve"> NS07 </t>
  </si>
  <si>
    <t xml:space="preserve"> NB01 </t>
  </si>
  <si>
    <t xml:space="preserve"> NB02 </t>
  </si>
  <si>
    <t xml:space="preserve"> KT02 </t>
  </si>
  <si>
    <t xml:space="preserve"> KT03 </t>
  </si>
  <si>
    <t xml:space="preserve"> KT05 </t>
  </si>
  <si>
    <t xml:space="preserve"> KT07 </t>
  </si>
  <si>
    <t xml:space="preserve"> KT08 </t>
  </si>
  <si>
    <t xml:space="preserve"> KT09 </t>
  </si>
  <si>
    <t xml:space="preserve"> XD01 </t>
  </si>
  <si>
    <t xml:space="preserve"> XD02 </t>
  </si>
  <si>
    <t xml:space="preserve"> XD03 </t>
  </si>
  <si>
    <t xml:space="preserve"> XD04 </t>
  </si>
  <si>
    <t xml:space="preserve"> XD06 </t>
  </si>
  <si>
    <t xml:space="preserve"> VT01 </t>
  </si>
  <si>
    <t xml:space="preserve"> VT05 </t>
  </si>
  <si>
    <t xml:space="preserve"> DA01 </t>
  </si>
  <si>
    <t xml:space="preserve"> DA02 </t>
  </si>
  <si>
    <t xml:space="preserve"> DA04 </t>
  </si>
  <si>
    <t xml:space="preserve"> TT02 </t>
  </si>
  <si>
    <t xml:space="preserve"> TT03 </t>
  </si>
  <si>
    <t xml:space="preserve"> TT01 </t>
  </si>
  <si>
    <t xml:space="preserve"> TT05 </t>
  </si>
  <si>
    <t xml:space="preserve"> LG01 </t>
  </si>
  <si>
    <t xml:space="preserve"> Qlý + Sale Admin </t>
  </si>
  <si>
    <t xml:space="preserve"> KDV2 </t>
  </si>
  <si>
    <t xml:space="preserve"> Tổ lái </t>
  </si>
  <si>
    <t xml:space="preserve"> KDX1 </t>
  </si>
  <si>
    <t xml:space="preserve"> KDX2 </t>
  </si>
  <si>
    <t xml:space="preserve"> KDX3 </t>
  </si>
  <si>
    <t xml:space="preserve"> KDX5 </t>
  </si>
  <si>
    <t xml:space="preserve"> KDX6 </t>
  </si>
  <si>
    <t xml:space="preserve"> KDPX3 </t>
  </si>
  <si>
    <t xml:space="preserve"> Phụ xe </t>
  </si>
  <si>
    <t xml:space="preserve"> KDX7 </t>
  </si>
  <si>
    <t xml:space="preserve"> KDX8 </t>
  </si>
  <si>
    <t xml:space="preserve"> KDX10 </t>
  </si>
  <si>
    <t xml:space="preserve"> Sale </t>
  </si>
  <si>
    <t xml:space="preserve"> KDS1 </t>
  </si>
  <si>
    <t xml:space="preserve"> KDS2 </t>
  </si>
  <si>
    <t xml:space="preserve"> KDS3 </t>
  </si>
  <si>
    <t xml:space="preserve"> KDS4 </t>
  </si>
  <si>
    <t xml:space="preserve"> KDS5 </t>
  </si>
  <si>
    <t xml:space="preserve"> KDS6 </t>
  </si>
  <si>
    <t xml:space="preserve"> KDS8 </t>
  </si>
  <si>
    <t xml:space="preserve"> KDS9 </t>
  </si>
  <si>
    <t xml:space="preserve"> Giao nhận </t>
  </si>
  <si>
    <t xml:space="preserve"> KDG1 </t>
  </si>
  <si>
    <t xml:space="preserve"> KDG2 </t>
  </si>
  <si>
    <t xml:space="preserve"> KDG4 </t>
  </si>
  <si>
    <t xml:space="preserve"> KDG6 </t>
  </si>
  <si>
    <t xml:space="preserve"> KDG9 </t>
  </si>
  <si>
    <t xml:space="preserve"> KDG11 </t>
  </si>
  <si>
    <t xml:space="preserve"> KDG12 </t>
  </si>
  <si>
    <t xml:space="preserve"> KDPX1 </t>
  </si>
  <si>
    <t xml:space="preserve"> KDPX2 </t>
  </si>
  <si>
    <t xml:space="preserve"> KDPX5 </t>
  </si>
  <si>
    <t xml:space="preserve"> KDPX7 </t>
  </si>
  <si>
    <t xml:space="preserve"> KDPX9 </t>
  </si>
  <si>
    <t xml:space="preserve"> KDPX11 </t>
  </si>
  <si>
    <t xml:space="preserve"> KDPX12 </t>
  </si>
  <si>
    <t xml:space="preserve"> KDPX15 </t>
  </si>
  <si>
    <t xml:space="preserve"> KDPX16 </t>
  </si>
  <si>
    <t>Phụ xe</t>
  </si>
  <si>
    <t>Cao Chánh Dũng</t>
  </si>
  <si>
    <t>Trần Ngọc Minh</t>
  </si>
  <si>
    <t>Huỳnh Văn Phương</t>
  </si>
  <si>
    <t>Nguyễn Hữu Tài</t>
  </si>
  <si>
    <t>Chức vụ</t>
  </si>
  <si>
    <t>Thi đua</t>
  </si>
  <si>
    <t>Tổng thu nhập</t>
  </si>
  <si>
    <t>Tạm ứng</t>
  </si>
  <si>
    <t>Thực lãnh</t>
  </si>
  <si>
    <t>Ngày nghỉ Lễ Tết hưởng lương</t>
  </si>
  <si>
    <t xml:space="preserve"> Nguyễn Văn Thảo </t>
  </si>
  <si>
    <t xml:space="preserve"> Nguyễn Đỗ Q. Phương </t>
  </si>
  <si>
    <t xml:space="preserve"> Lê Hoàng Tuấn </t>
  </si>
  <si>
    <t xml:space="preserve"> Đỗ Ngọc Thiên Thanh </t>
  </si>
  <si>
    <t xml:space="preserve"> Nguyễn T. Hồng Anh </t>
  </si>
  <si>
    <t xml:space="preserve"> Nguyễn Thọ Ngọc </t>
  </si>
  <si>
    <t xml:space="preserve"> Nguyễn Trinh Nguyên </t>
  </si>
  <si>
    <t xml:space="preserve"> Ninh Phương Hạnh </t>
  </si>
  <si>
    <t xml:space="preserve"> Nguyễn Thái Ngân  </t>
  </si>
  <si>
    <t xml:space="preserve"> Từ Thị Hoàng Oanh </t>
  </si>
  <si>
    <t xml:space="preserve"> Lê Thanh Huy </t>
  </si>
  <si>
    <t xml:space="preserve"> Châu Phước Thuần </t>
  </si>
  <si>
    <t xml:space="preserve"> Đào Ngọc Long </t>
  </si>
  <si>
    <t xml:space="preserve"> Nguyễn Duy Long </t>
  </si>
  <si>
    <t xml:space="preserve"> Nguyễn Trần Duy Anh </t>
  </si>
  <si>
    <t xml:space="preserve"> Nguyễn Ngọc Đông </t>
  </si>
  <si>
    <t xml:space="preserve"> Trần Văn Vị Toàn </t>
  </si>
  <si>
    <t xml:space="preserve"> Huỳnh Thanh Liêm </t>
  </si>
  <si>
    <t xml:space="preserve"> Lê Công Nhất Trung </t>
  </si>
  <si>
    <t xml:space="preserve"> Cao Xuân Vũ </t>
  </si>
  <si>
    <t xml:space="preserve"> Trần Văn Hà </t>
  </si>
  <si>
    <t xml:space="preserve"> Đỗ Thanh Tú </t>
  </si>
  <si>
    <t xml:space="preserve"> Trần Thị Minh Thương </t>
  </si>
  <si>
    <t xml:space="preserve"> Ngô Pa Ri </t>
  </si>
  <si>
    <t xml:space="preserve"> Nguyễn Chu Thy </t>
  </si>
  <si>
    <t xml:space="preserve"> Nguyễn Văn Bảy </t>
  </si>
  <si>
    <t xml:space="preserve"> Kiều Thị Thủy Tiên </t>
  </si>
  <si>
    <t xml:space="preserve"> Lê Châu Bào </t>
  </si>
  <si>
    <t xml:space="preserve"> Nguyễn Nguyên Nguyên </t>
  </si>
  <si>
    <t xml:space="preserve"> Nguyễn Anh Tuấn </t>
  </si>
  <si>
    <t xml:space="preserve"> Văn Khoa Trường </t>
  </si>
  <si>
    <t xml:space="preserve"> Thạch Minh Châu </t>
  </si>
  <si>
    <t xml:space="preserve"> Ngô Mạnh Linh trưởng bộ phận </t>
  </si>
  <si>
    <t xml:space="preserve"> Nguyễn Cường  </t>
  </si>
  <si>
    <t xml:space="preserve"> Nguyễn Văn Chung </t>
  </si>
  <si>
    <t xml:space="preserve"> Nguyễn Hoài Thanh </t>
  </si>
  <si>
    <t xml:space="preserve"> Nguyễn Đình Hướng </t>
  </si>
  <si>
    <t xml:space="preserve"> Đặng Quốc Cọp </t>
  </si>
  <si>
    <t xml:space="preserve"> Châu Kim Lượng </t>
  </si>
  <si>
    <t xml:space="preserve"> Huỳnh Trọng Nghĩa </t>
  </si>
  <si>
    <t xml:space="preserve"> Nguyễn Ngọc Hiển </t>
  </si>
  <si>
    <t xml:space="preserve"> Nguyễn Tuấn Anh </t>
  </si>
  <si>
    <t xml:space="preserve"> Phan Thanh Tùng </t>
  </si>
  <si>
    <t xml:space="preserve"> Trịnh Minh Hảo (Trưởng BP sale) </t>
  </si>
  <si>
    <t xml:space="preserve"> Lê Nho Khánh </t>
  </si>
  <si>
    <t xml:space="preserve"> Nguyễn Đức Trung </t>
  </si>
  <si>
    <t xml:space="preserve"> Nguyễn Minh Đại </t>
  </si>
  <si>
    <t xml:space="preserve"> Trần Ngọc Thạch </t>
  </si>
  <si>
    <t xml:space="preserve"> Nguyễn Hồng Hải (trưởng bộ phận) </t>
  </si>
  <si>
    <t xml:space="preserve"> Nguyễn Thành Ngoan </t>
  </si>
  <si>
    <t xml:space="preserve"> Trần Thanh Long </t>
  </si>
  <si>
    <t xml:space="preserve"> Dương Nguyễn Vũ Bảo </t>
  </si>
  <si>
    <t xml:space="preserve"> Phan Thành Phúc </t>
  </si>
  <si>
    <t xml:space="preserve"> Lê Hoàng Khang </t>
  </si>
  <si>
    <t xml:space="preserve"> Lê Hoàng Phúc </t>
  </si>
  <si>
    <t xml:space="preserve"> Dương Tấn Đạt </t>
  </si>
  <si>
    <t xml:space="preserve"> Lê Tấn Dũng </t>
  </si>
  <si>
    <t xml:space="preserve"> Danh Thừa </t>
  </si>
  <si>
    <t xml:space="preserve"> Triệu Minh Thắng </t>
  </si>
  <si>
    <t xml:space="preserve"> Nguyễn Hồng Hiệp </t>
  </si>
  <si>
    <t xml:space="preserve"> Nguyễn Hữu Hưng </t>
  </si>
  <si>
    <t xml:space="preserve"> Châu Văn Hữu </t>
  </si>
  <si>
    <t xml:space="preserve"> Lê Hoàng Sơn </t>
  </si>
  <si>
    <t xml:space="preserve"> Danh Mới </t>
  </si>
  <si>
    <t>THANG BẢNG LƯƠNG</t>
  </si>
  <si>
    <t>ĐVT: 1000 ĐỒNG</t>
  </si>
  <si>
    <t>VỊ TRÍ</t>
  </si>
  <si>
    <t>BẬC LƯƠNG</t>
  </si>
  <si>
    <t>Hệ số bậc</t>
  </si>
  <si>
    <t>Điểm tham khảo</t>
  </si>
  <si>
    <t>TRƯỞNG BAN KIỂM SOÁT NỘI BỘ</t>
  </si>
  <si>
    <t>Chuyên viên kiểm soát tài chính</t>
  </si>
  <si>
    <t>Chuyên viên kiểm soát quy trình</t>
  </si>
  <si>
    <t>Nhân viên nhân sự</t>
  </si>
  <si>
    <t>Trưởng Giám sát Nhà máy</t>
  </si>
  <si>
    <t>Nhân viên Giám sát</t>
  </si>
  <si>
    <t>Tạp vụ</t>
  </si>
  <si>
    <t>Kế toán …………</t>
  </si>
  <si>
    <t>Kế toán quản lý nội bộ</t>
  </si>
  <si>
    <t>Kế toán thuế</t>
  </si>
  <si>
    <t>Nhân viên thu hồi công nợ</t>
  </si>
  <si>
    <t>TRƯỞNG BAN DỰ ÁN NGHIÊN CỨU</t>
  </si>
  <si>
    <t>CV dự án nghiên cứu</t>
  </si>
  <si>
    <t>CV thu mua MMTB</t>
  </si>
  <si>
    <t>CV kế hoạch tổng hợp</t>
  </si>
  <si>
    <t>CV nghiên cứu KHCN</t>
  </si>
  <si>
    <t>CV Phòng thí nghiệm (Quản lý PTN)</t>
  </si>
  <si>
    <t>TRƯỞNG BAN XÂY DỰNG CƠ BẢN</t>
  </si>
  <si>
    <t>GIÁM ĐỐC KINH DOANH</t>
  </si>
  <si>
    <t>KD còn tính phần doanh thu nên khoảng cách các bậc nhỏ hơn các vị trí khác</t>
  </si>
  <si>
    <t>Sale admin</t>
  </si>
  <si>
    <t>Trưởng sale TP</t>
  </si>
  <si>
    <t>Trưởng sale Tỉnh</t>
  </si>
  <si>
    <t>NV sale Tỉnh</t>
  </si>
  <si>
    <t>Trưởng đội vận chuyển</t>
  </si>
  <si>
    <t>Trưởng đội giao nhận</t>
  </si>
  <si>
    <t>NV giao nhận</t>
  </si>
  <si>
    <t>Phó Giám đốc khối quản lý chất lượng</t>
  </si>
  <si>
    <t>Huệ</t>
  </si>
  <si>
    <t>ca làm 12 tiếng = mức NV hành chính</t>
  </si>
  <si>
    <t>Tổ trưởng nhân lực sản xuất</t>
  </si>
  <si>
    <t>hoàng</t>
  </si>
  <si>
    <t>Công nhân sản xuất</t>
  </si>
  <si>
    <t>Tổ trưởng nhân lực xử lý bùn</t>
  </si>
  <si>
    <t>chú minh</t>
  </si>
  <si>
    <t>Công nhân xử lý bùn</t>
  </si>
  <si>
    <t>Long nhỏ</t>
  </si>
  <si>
    <t>Đông</t>
  </si>
  <si>
    <t>Tổ trưởng điều độ cơ giới</t>
  </si>
  <si>
    <t>Tài xế xe cơ giới</t>
  </si>
  <si>
    <t>Nhân viên điều độ cơ giới</t>
  </si>
  <si>
    <t>Thon</t>
  </si>
  <si>
    <t>Trưởng phòng cơ khí - chế tạo</t>
  </si>
  <si>
    <t>Đ.N.Trung</t>
  </si>
  <si>
    <t>Tổ phó vận hành máy</t>
  </si>
  <si>
    <t>Nhân viên vận hành máy</t>
  </si>
  <si>
    <t>Tổ trưởng thiết kế cơ khí - chế tạo</t>
  </si>
  <si>
    <t>Nhân viên thiết kế cơ khí - chế tạo</t>
  </si>
  <si>
    <t>A.Thắng</t>
  </si>
  <si>
    <t>nhàn</t>
  </si>
  <si>
    <t>Nhân viên bảo trì điện công nghiệp</t>
  </si>
  <si>
    <t>lâm</t>
  </si>
  <si>
    <t>Phó Giám đốc khối sản xuất</t>
  </si>
  <si>
    <t>Tổ trưởng KCS xử lý bùn</t>
  </si>
  <si>
    <t>NV KCS xử lý</t>
  </si>
  <si>
    <t>Tổ trưởng KCS SP khác</t>
  </si>
  <si>
    <t>NV KCS sản xuất</t>
  </si>
  <si>
    <t>Tổ trưởng KCS đất sạch phân bón</t>
  </si>
  <si>
    <t>Trưởng phòng quản lý chất lượng môi trường</t>
  </si>
  <si>
    <t>Tổ trưởng cảnh quan - cây xanh</t>
  </si>
  <si>
    <t>Tổ phó BP vệ sinh</t>
  </si>
  <si>
    <t>Công nhân mảng xanh - VSCN</t>
  </si>
  <si>
    <t>Nhân viên vận hành trạm XLNT</t>
  </si>
  <si>
    <t>Nhân viên GS môi trường</t>
  </si>
  <si>
    <t xml:space="preserve"> NS03 </t>
  </si>
  <si>
    <t xml:space="preserve"> Huỳnh Ngọc Giang </t>
  </si>
  <si>
    <t>Mã NV</t>
  </si>
  <si>
    <t>Họ và tên</t>
  </si>
  <si>
    <t>Thâm niên làm việc</t>
  </si>
  <si>
    <t>Công ty TNHH CNSH Sài Gòn Xanh</t>
  </si>
  <si>
    <t>Nguyễn Văn Thảo</t>
  </si>
  <si>
    <t>Tổng Giám đốc</t>
  </si>
  <si>
    <t>Giám đốc Tài chính- Kế toán</t>
  </si>
  <si>
    <t>Nguyễn Văn Bảy</t>
  </si>
  <si>
    <t>Giám đốc HCNS</t>
  </si>
  <si>
    <t>Nguyễn Đỗ Quỳnh Phương</t>
  </si>
  <si>
    <t>Tỷ lệ đóng BH</t>
  </si>
  <si>
    <t>Lương tham gia BHXH</t>
  </si>
  <si>
    <t>Phòng HCNS - NS</t>
  </si>
  <si>
    <t>Trung tâm NC KHCN -TT</t>
  </si>
  <si>
    <t>Phòng KH- Vật tư</t>
  </si>
  <si>
    <t>Phòng TCKT - KT</t>
  </si>
  <si>
    <t>Lương cơ bản (tháng) bao gồm phụ cấp</t>
  </si>
  <si>
    <t>Ngày công làm việc</t>
  </si>
  <si>
    <t>Ngày nghỉ phép hưởng lương</t>
  </si>
  <si>
    <t>Công CN (giờ)</t>
  </si>
  <si>
    <t>Công tăng ca ngày thường (giờ)</t>
  </si>
  <si>
    <t>Công lễ tết</t>
  </si>
  <si>
    <t>Ban Dự án</t>
  </si>
  <si>
    <t>VĂN PHÒNG</t>
  </si>
  <si>
    <t>Ban lãnh đạo</t>
  </si>
  <si>
    <t>NHÀ MÁY</t>
  </si>
  <si>
    <t>BAN GIÁM ĐỐC</t>
  </si>
  <si>
    <t>ĐIỀU ĐỘ NHÂN LỰC</t>
  </si>
  <si>
    <t>ĐIỀU ĐỘ CƠ GIỚI</t>
  </si>
  <si>
    <t>QUẢN LÝ CHẤT LƯỢNG SẢN PHẨM</t>
  </si>
  <si>
    <t xml:space="preserve"> KT11</t>
  </si>
  <si>
    <t>Nguyễn Thị Phượng Nhi</t>
  </si>
  <si>
    <t>VT07</t>
  </si>
  <si>
    <t>Thái Hồng Phát</t>
  </si>
  <si>
    <t xml:space="preserve"> TT07</t>
  </si>
  <si>
    <t>CƠM</t>
  </si>
  <si>
    <t>Tổ trưởng trở xuống tính tăng tăng ca ngày CN, Lễ Tết, trừ các trường hợp có lương vị trí đặc thù thì không tính gì thêm ngoài thu nhập</t>
  </si>
  <si>
    <t>Tổ trưởng có lương định mức cũng không tính tăng ca</t>
  </si>
  <si>
    <t>Trưởng phòng trở lên không tính tăng ca</t>
  </si>
  <si>
    <t>LG02</t>
  </si>
  <si>
    <t>LG03</t>
  </si>
  <si>
    <t>Ngưởi lập</t>
  </si>
  <si>
    <t>LG05</t>
  </si>
  <si>
    <t>LG06</t>
  </si>
  <si>
    <t>LG09</t>
  </si>
  <si>
    <t>TR01</t>
  </si>
  <si>
    <t>TR02</t>
  </si>
  <si>
    <t>TR03</t>
  </si>
  <si>
    <t>NS09</t>
  </si>
  <si>
    <t>CĐ01</t>
  </si>
  <si>
    <t>CĐ02</t>
  </si>
  <si>
    <t>CĐ03</t>
  </si>
  <si>
    <t>CĐ04</t>
  </si>
  <si>
    <t>CĐ05</t>
  </si>
  <si>
    <t>CĐ08</t>
  </si>
  <si>
    <t>Mức đạt trong tháng</t>
  </si>
  <si>
    <t>Hỗ trợ ngoài lương</t>
  </si>
  <si>
    <t>KINH DOANH</t>
  </si>
  <si>
    <t>Lương theo doanh thu doanh số</t>
  </si>
  <si>
    <t>NV Giao nhận/ Phụ xe</t>
  </si>
  <si>
    <t xml:space="preserve"> DA05</t>
  </si>
  <si>
    <t>LG10</t>
  </si>
  <si>
    <t>LG11</t>
  </si>
  <si>
    <t>Nguyễn Minh Hoàn</t>
  </si>
  <si>
    <t>Admin Kho/ Kế toán kho</t>
  </si>
  <si>
    <t>Admin điều vận</t>
  </si>
  <si>
    <t>CĐ09</t>
  </si>
  <si>
    <t>NV sale</t>
  </si>
  <si>
    <t>KDV1</t>
  </si>
  <si>
    <t>Huỳnh Kim Hải</t>
  </si>
  <si>
    <t>Tổng bùn bốc</t>
  </si>
  <si>
    <t>Thành tiền bốc bùn</t>
  </si>
  <si>
    <t>Tài xế</t>
  </si>
  <si>
    <t>Công tác xa</t>
  </si>
  <si>
    <t xml:space="preserve"> KDPX17</t>
  </si>
  <si>
    <t xml:space="preserve"> KDPX18</t>
  </si>
  <si>
    <t>Nguyễn Hữu Thái</t>
  </si>
  <si>
    <t>Trần Minh Xuân</t>
  </si>
  <si>
    <t xml:space="preserve"> NS08 </t>
  </si>
  <si>
    <t>KH01</t>
  </si>
  <si>
    <t>NV Thu mua MMTB</t>
  </si>
  <si>
    <t>Nguyễn Thị Hồng Ánh</t>
  </si>
  <si>
    <t xml:space="preserve"> TT08</t>
  </si>
  <si>
    <t>Phan Thị Trà Hiên</t>
  </si>
  <si>
    <t xml:space="preserve"> KDPX19</t>
  </si>
  <si>
    <t xml:space="preserve"> KDPX20</t>
  </si>
  <si>
    <t>Đặng Văn Thi</t>
  </si>
  <si>
    <t>Nguyễn Hoàng Đức</t>
  </si>
  <si>
    <t>Möùc 1: 2,295t</t>
  </si>
  <si>
    <t>Möùc 2: 2,970t</t>
  </si>
  <si>
    <t>Möùc 1: 1,350t</t>
  </si>
  <si>
    <t>Möùc 2: 1,750t</t>
  </si>
  <si>
    <t>Möùc 1: 3,645t</t>
  </si>
  <si>
    <t>Möùc 2: 4,725t</t>
  </si>
  <si>
    <t>Möùc 1: 765tr</t>
  </si>
  <si>
    <t>Möùc 1: 495tr</t>
  </si>
  <si>
    <t>Möùc 2: 585tr</t>
  </si>
  <si>
    <t>Möùc 3: 675tr</t>
  </si>
  <si>
    <t>Möùc 2: 990tr</t>
  </si>
  <si>
    <t>Möùc 3: 1,080tr</t>
  </si>
  <si>
    <t xml:space="preserve"> DA03</t>
  </si>
  <si>
    <t>Nguyễn Hoàng Sơn</t>
  </si>
  <si>
    <t xml:space="preserve"> KDX12</t>
  </si>
  <si>
    <t xml:space="preserve"> KDG13</t>
  </si>
  <si>
    <t>Tạ Thanh Tùng</t>
  </si>
  <si>
    <t xml:space="preserve"> KDS5</t>
  </si>
  <si>
    <t>La Đường</t>
  </si>
  <si>
    <t>Hoàng Văn Nhân</t>
  </si>
  <si>
    <t>Phạm Thái Khang</t>
  </si>
  <si>
    <t xml:space="preserve"> KDS10</t>
  </si>
  <si>
    <t xml:space="preserve"> KDS11</t>
  </si>
  <si>
    <t xml:space="preserve"> KDS12</t>
  </si>
  <si>
    <t xml:space="preserve"> TT09</t>
  </si>
  <si>
    <t>CĐ10</t>
  </si>
  <si>
    <t>CĐ11</t>
  </si>
  <si>
    <t>CĐ12</t>
  </si>
  <si>
    <t>Thái Minh Tân</t>
  </si>
  <si>
    <t>Trần Văn Phi</t>
  </si>
  <si>
    <t>Trần Quốc Nam</t>
  </si>
  <si>
    <t xml:space="preserve"> NB02</t>
  </si>
  <si>
    <t>Nguyễn Thành Long</t>
  </si>
  <si>
    <t>Dương Ngọc Bảo Phương</t>
  </si>
  <si>
    <t>Trưởng BP thiết kế kỹ thuật</t>
  </si>
  <si>
    <t>CV hoàn công thanh quyết toán</t>
  </si>
  <si>
    <t>CV KCS xây dựng</t>
  </si>
  <si>
    <t>Tổ trưởng thiết kế xây dựng</t>
  </si>
  <si>
    <t>NV thiết kế xây dựng</t>
  </si>
  <si>
    <t>Trưởng BP GS kỹ thuật</t>
  </si>
  <si>
    <t>CV trắc địa kỹ thuật - ATLĐ</t>
  </si>
  <si>
    <t>CV giám sát thi công</t>
  </si>
  <si>
    <t>Thưởng lễ tết</t>
  </si>
  <si>
    <t>Trưởng BP kế hoạch &amp; thống kê</t>
  </si>
  <si>
    <t>Tổ trưởng kế hoạch SX</t>
  </si>
  <si>
    <t>NV kế hoạch SX</t>
  </si>
  <si>
    <t>Tổ trưởng thống kê SX</t>
  </si>
  <si>
    <t xml:space="preserve">NV thống kê ĐS - PB nguyên liệu </t>
  </si>
  <si>
    <t>NV thống kê ĐS - PB thành phẩm</t>
  </si>
  <si>
    <t>NV thống kê xử lý bùn</t>
  </si>
  <si>
    <t>NV QC inline ĐS - PB</t>
  </si>
  <si>
    <t>Tổ trưởng điện - cơ điện</t>
  </si>
  <si>
    <t>Nhân viên điện - cơ điện</t>
  </si>
  <si>
    <t>Tổ trưởng cơ giới - cơ khí</t>
  </si>
  <si>
    <t>Nhân viên cơ giới - cơ khí</t>
  </si>
  <si>
    <t>Tổ trưởng môi trường</t>
  </si>
  <si>
    <t>NV nước cấp - nước thải</t>
  </si>
  <si>
    <t>CN nước cấp - nước thải</t>
  </si>
  <si>
    <t>NV khí thải - bụi - chất thải rắn</t>
  </si>
  <si>
    <t>CN khí thải - bụi - chất thải rắn</t>
  </si>
  <si>
    <t>Tổ trưởng ĐS - PB</t>
  </si>
  <si>
    <t>Nhóm trưởng đóng gói</t>
  </si>
  <si>
    <t>Công nhân đóng gói</t>
  </si>
  <si>
    <t>Nhóm trưởng VHM ĐS - PB</t>
  </si>
  <si>
    <t>Công nhân VHM</t>
  </si>
  <si>
    <t>Tổ trưởng XCG ĐS - PB</t>
  </si>
  <si>
    <t>Tài xế ĐS - PB</t>
  </si>
  <si>
    <t>Tổ trưởng xử lý bùn</t>
  </si>
  <si>
    <t>Nhóm trưởng XLB</t>
  </si>
  <si>
    <t>Công nhân XLB</t>
  </si>
  <si>
    <t>Nhóm trưởng VHM XLB</t>
  </si>
  <si>
    <t>Công nhân VHM XLB</t>
  </si>
  <si>
    <t>Tổ trưởng XCG xử lý bùn</t>
  </si>
  <si>
    <t>Tổ phó XCG XLB</t>
  </si>
  <si>
    <t>Tài xế XLB</t>
  </si>
  <si>
    <t>NV QC inline xử lý bùn</t>
  </si>
  <si>
    <t>NV kế toán sản xuất</t>
  </si>
  <si>
    <t>NV kế toán kho NVL - Thủ quỹ</t>
  </si>
  <si>
    <t>NV thủ kho NVL</t>
  </si>
  <si>
    <t>Trưởng BP HCNS nhà máy</t>
  </si>
  <si>
    <t>NV giám sát bảo vệ</t>
  </si>
  <si>
    <t>Tổ trưởng cây xanh vệ sinh công nghiệp</t>
  </si>
  <si>
    <t>CN vệ sinh</t>
  </si>
  <si>
    <t>Tổ trưởng HCNS - tạp vụ - quan hệ cộng đồng</t>
  </si>
  <si>
    <t>NV HCNS Nhà máy</t>
  </si>
  <si>
    <t>NV cơ sở hạ tầng</t>
  </si>
  <si>
    <t>Nhân viên QA -  HSE</t>
  </si>
  <si>
    <t>Phó GĐ nhà máy</t>
  </si>
  <si>
    <t>Trưởng BP Bảo trì</t>
  </si>
  <si>
    <t>Trưởng BP môi trường</t>
  </si>
  <si>
    <t>Quản đốc ĐS &amp; PB</t>
  </si>
  <si>
    <t>Quản đốc xử lý bùn</t>
  </si>
  <si>
    <t>Trưởng BP Kế toán QTSX</t>
  </si>
  <si>
    <t>Trưởng BP QA</t>
  </si>
  <si>
    <t xml:space="preserve"> XD05</t>
  </si>
  <si>
    <t xml:space="preserve"> XD06</t>
  </si>
  <si>
    <t>Chế Thanh Thân</t>
  </si>
  <si>
    <t>Chau Ri Na</t>
  </si>
  <si>
    <t>Ban Dự án Nghiên Cứu</t>
  </si>
  <si>
    <t xml:space="preserve"> DN01 </t>
  </si>
  <si>
    <t>Vũ Kiến Quốc</t>
  </si>
  <si>
    <t>NS10</t>
  </si>
  <si>
    <t>Lê Hà</t>
  </si>
  <si>
    <t>Võ Thị Thanh Thủy</t>
  </si>
  <si>
    <t>Phạm Tấn Hưng</t>
  </si>
  <si>
    <t>Mai Hoàng Việt</t>
  </si>
  <si>
    <t xml:space="preserve"> KDS13</t>
  </si>
  <si>
    <t xml:space="preserve"> KDS14</t>
  </si>
  <si>
    <t xml:space="preserve"> KDS15</t>
  </si>
  <si>
    <t xml:space="preserve"> KDS16</t>
  </si>
  <si>
    <t>Đinh Hiệp Thương</t>
  </si>
  <si>
    <t>Nguyễn Ngọc Lâm</t>
  </si>
  <si>
    <t xml:space="preserve"> KDS17</t>
  </si>
  <si>
    <t>Huỳnh Ngọc Minh</t>
  </si>
  <si>
    <t>KH02</t>
  </si>
  <si>
    <t>KH03</t>
  </si>
  <si>
    <t>KH05</t>
  </si>
  <si>
    <t>Nguyễn Phùng Quốc</t>
  </si>
  <si>
    <t xml:space="preserve"> TT10</t>
  </si>
  <si>
    <t xml:space="preserve"> KẾ HOẠCH THỐNG KÊ</t>
  </si>
  <si>
    <t>Trần Thành Lập</t>
  </si>
  <si>
    <t>GIÁM ĐỐC NCPTSP</t>
  </si>
  <si>
    <t xml:space="preserve"> VT03</t>
  </si>
  <si>
    <t xml:space="preserve"> Võ Thị Khánh Huyền</t>
  </si>
  <si>
    <t xml:space="preserve"> VT04</t>
  </si>
  <si>
    <t>Phan Đông</t>
  </si>
  <si>
    <t>LG12</t>
  </si>
  <si>
    <t>Trần Thiện Anh</t>
  </si>
  <si>
    <t xml:space="preserve"> KDPX21</t>
  </si>
  <si>
    <t>Phan Văn Thừa</t>
  </si>
  <si>
    <t xml:space="preserve">Lê Sỹ Ninh </t>
  </si>
  <si>
    <t>CĐ13</t>
  </si>
  <si>
    <t>CĐ14</t>
  </si>
  <si>
    <t>Nguyễn Văn Đức</t>
  </si>
  <si>
    <t>Cao Văn Lượm</t>
  </si>
  <si>
    <t xml:space="preserve"> KDS7</t>
  </si>
  <si>
    <t>Nguyễn Hoàng Khang</t>
  </si>
  <si>
    <t>NS11</t>
  </si>
  <si>
    <t>Lê Viết Thuật</t>
  </si>
  <si>
    <t xml:space="preserve"> XD07</t>
  </si>
  <si>
    <t xml:space="preserve"> XD09</t>
  </si>
  <si>
    <t>Nguyễn Văn Bích</t>
  </si>
  <si>
    <t>Lê Đình Tiến</t>
  </si>
  <si>
    <t>KH06</t>
  </si>
  <si>
    <t>Trần Minh Tâm</t>
  </si>
  <si>
    <t xml:space="preserve"> KDS18</t>
  </si>
  <si>
    <t>Nguyễn Thái Bình</t>
  </si>
  <si>
    <t xml:space="preserve"> KDS19</t>
  </si>
  <si>
    <t>Nguyễn Văn Ninh</t>
  </si>
  <si>
    <t xml:space="preserve"> KDS20</t>
  </si>
  <si>
    <t xml:space="preserve"> KDS21</t>
  </si>
  <si>
    <t>Nguyễn Huy Cường</t>
  </si>
  <si>
    <t>Nguyễn Hóa Giàu</t>
  </si>
  <si>
    <t>CĐ15</t>
  </si>
  <si>
    <t>Nguyễn Đăng Khoa</t>
  </si>
  <si>
    <t xml:space="preserve"> KDG14</t>
  </si>
  <si>
    <t>Lê Trần Hoàng Dương</t>
  </si>
  <si>
    <t>Nguyễn Quốc Tâm</t>
  </si>
  <si>
    <t>Lê Thị Duyên</t>
  </si>
  <si>
    <t>AN01</t>
  </si>
  <si>
    <t>Đặng Văn Thông</t>
  </si>
  <si>
    <t>Ngô Hoàng Oanh</t>
  </si>
  <si>
    <t xml:space="preserve"> KDS22</t>
  </si>
  <si>
    <t>Nguyễn Bá Phúc</t>
  </si>
  <si>
    <t xml:space="preserve"> KDS23</t>
  </si>
  <si>
    <t>Nguyễn Ngọc Hồng Vy</t>
  </si>
  <si>
    <t>KH07</t>
  </si>
  <si>
    <t>Phạm Thành Nhân</t>
  </si>
  <si>
    <t xml:space="preserve"> DN02</t>
  </si>
  <si>
    <t>Dương Thạch Quang</t>
  </si>
  <si>
    <t xml:space="preserve"> KDPX22</t>
  </si>
  <si>
    <t xml:space="preserve"> KDPX23</t>
  </si>
  <si>
    <t>Trần Ngọc Tâm</t>
  </si>
  <si>
    <t>Trần Ngọc Bảo</t>
  </si>
  <si>
    <t>CĐ16</t>
  </si>
  <si>
    <t>CĐ17</t>
  </si>
  <si>
    <t>Thạch Phương</t>
  </si>
  <si>
    <t>Lê Tấn Hùng</t>
  </si>
  <si>
    <t xml:space="preserve"> TT04</t>
  </si>
  <si>
    <t>VT08</t>
  </si>
  <si>
    <t>Nguyễn Quốc Trung</t>
  </si>
  <si>
    <t>Trương Quốc Minh</t>
  </si>
  <si>
    <t>Nguyễn Xuân Lỉnh</t>
  </si>
  <si>
    <t>CĐ18</t>
  </si>
  <si>
    <t xml:space="preserve"> KDPX24</t>
  </si>
  <si>
    <t>Dương Khang</t>
  </si>
  <si>
    <t>BẢNG LƯƠNG THÁNG 08 - BỘ PHẬN QUẢN LÝ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</si>
</sst>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_₫_-;\-* #,##0.00\ _₫_-;_-* &quot;-&quot;??\ _₫_-;_-@_-"/>
    <numFmt numFmtId="165" formatCode="_(* #,##0_);_(* \(#,##0\);_(* &quot;-&quot;??_);_(@_)"/>
    <numFmt numFmtId="166" formatCode="_(* #,##0.0_);_(* \(#,##0.0\);_(* &quot;-&quot;??_);_(@_)"/>
    <numFmt numFmtId="167" formatCode="_(* #,##0.000_);_(* \(#,##0.000\);_(* &quot;-&quot;??_);_(@_)"/>
    <numFmt numFmtId="168" formatCode="mm/yy"/>
    <numFmt numFmtId="169" formatCode="0.0%"/>
    <numFmt numFmtId="171" formatCode="_-* #,##0\ _₫_-;\-* #,##0\ _₫_-;_-* &quot;-&quot;??\ _₫_-;_-@_-"/>
    <numFmt numFmtId="172" formatCode="_-* #,##0.000\ _₫_-;\-* #,##0.000\ _₫_-;_-* &quot;-&quot;??\ _₫_-;_-@_-"/>
  </numFmts>
  <fonts count="102">
    <font>
      <sz val="10"/>
      <name val="VNI-Times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0"/>
      <name val="VNI-Times"/>
    </font>
    <font>
      <sz val="8"/>
      <name val="VNI-Times"/>
    </font>
    <font>
      <sz val="10"/>
      <name val="VNI-Times"/>
    </font>
    <font>
      <b/>
      <sz val="10"/>
      <name val="VNI-Times"/>
    </font>
    <font>
      <b/>
      <sz val="16"/>
      <name val="VNI-Times"/>
    </font>
    <font>
      <sz val="9"/>
      <name val="VNI-Times"/>
    </font>
    <font>
      <b/>
      <sz val="9"/>
      <name val="VNI-Times"/>
    </font>
    <font>
      <b/>
      <sz val="12"/>
      <name val="VNI-Times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  <charset val="163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0"/>
      <color rgb="FFFF0000"/>
      <name val="VNI-Times"/>
    </font>
    <font>
      <sz val="9"/>
      <color rgb="FFFF0000"/>
      <name val="VNI-Times"/>
    </font>
    <font>
      <b/>
      <sz val="10"/>
      <color rgb="FFFF0000"/>
      <name val="VNI-Times"/>
    </font>
    <font>
      <b/>
      <sz val="9"/>
      <color rgb="FFFF0000"/>
      <name val="VNI-Times"/>
    </font>
    <font>
      <u/>
      <sz val="11"/>
      <color theme="10"/>
      <name val="Calibri"/>
      <family val="2"/>
      <charset val="163"/>
      <scheme val="minor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7" tint="0.39997558519241921"/>
      <name val="VNI-Times"/>
    </font>
    <font>
      <sz val="10"/>
      <color theme="7" tint="0.39997558519241921"/>
      <name val="VNI-Times"/>
    </font>
    <font>
      <b/>
      <sz val="10"/>
      <color theme="7" tint="0.39997558519241921"/>
      <name val="VNI-Times"/>
    </font>
    <font>
      <sz val="9"/>
      <color theme="8" tint="0.39997558519241921"/>
      <name val="VNI-Times"/>
    </font>
    <font>
      <sz val="10"/>
      <color theme="8" tint="0.39997558519241921"/>
      <name val="VNI-Times"/>
    </font>
    <font>
      <b/>
      <sz val="10"/>
      <color theme="8" tint="0.39997558519241921"/>
      <name val="VNI-Times"/>
    </font>
    <font>
      <sz val="10"/>
      <name val="Arial"/>
      <family val="2"/>
    </font>
    <font>
      <sz val="10"/>
      <name val="Arial"/>
      <family val="2"/>
      <charset val="163"/>
    </font>
    <font>
      <b/>
      <sz val="8"/>
      <name val="Times New Roman"/>
      <family val="1"/>
    </font>
    <font>
      <b/>
      <sz val="20"/>
      <color rgb="FF0070C0"/>
      <name val="Arial"/>
      <family val="2"/>
    </font>
    <font>
      <b/>
      <sz val="11"/>
      <color rgb="FF0070C0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rgb="FFFFFF00"/>
      <name val="Arial"/>
      <family val="2"/>
    </font>
    <font>
      <b/>
      <sz val="11"/>
      <color theme="3" tint="-0.499984740745262"/>
      <name val="Arial"/>
      <family val="2"/>
    </font>
    <font>
      <sz val="11"/>
      <name val="Arial"/>
      <family val="2"/>
    </font>
    <font>
      <sz val="10"/>
      <name val="Times New Roman"/>
      <family val="1"/>
    </font>
    <font>
      <sz val="8"/>
      <name val="Times New Roman"/>
      <family val="1"/>
    </font>
    <font>
      <b/>
      <sz val="8"/>
      <color rgb="FFFF0000"/>
      <name val="Times New Roman"/>
      <family val="1"/>
    </font>
    <font>
      <b/>
      <sz val="8"/>
      <color theme="6" tint="0.39997558519241921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rgb="FFFF0000"/>
      <name val="Times New Roman"/>
      <family val="1"/>
    </font>
    <font>
      <sz val="8"/>
      <color theme="5" tint="-0.249977111117893"/>
      <name val="Times New Roman"/>
      <family val="1"/>
    </font>
    <font>
      <b/>
      <sz val="8"/>
      <name val="VNI-Times"/>
    </font>
    <font>
      <sz val="11"/>
      <color rgb="FF00B050"/>
      <name val="Arial"/>
      <family val="2"/>
    </font>
    <font>
      <sz val="11"/>
      <color rgb="FFFF0000"/>
      <name val="Calibri"/>
      <family val="2"/>
      <charset val="163"/>
      <scheme val="minor"/>
    </font>
    <font>
      <b/>
      <sz val="8"/>
      <name val="Times New Roman"/>
      <family val="1"/>
      <charset val="163"/>
    </font>
    <font>
      <sz val="8"/>
      <color rgb="FF0070C0"/>
      <name val="Times New Roman"/>
      <family val="1"/>
    </font>
    <font>
      <b/>
      <sz val="8"/>
      <color rgb="FF0070C0"/>
      <name val="Times New Roman"/>
      <family val="1"/>
    </font>
    <font>
      <sz val="8"/>
      <color rgb="FFFF0000"/>
      <name val="VNI-Times"/>
    </font>
    <font>
      <sz val="8"/>
      <color rgb="FFC00000"/>
      <name val="Times New Roman"/>
      <family val="1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  <charset val="163"/>
    </font>
    <font>
      <b/>
      <sz val="18"/>
      <color theme="3"/>
      <name val="Cambria"/>
      <family val="2"/>
      <charset val="163"/>
      <scheme val="major"/>
    </font>
    <font>
      <sz val="11"/>
      <color theme="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sz val="11"/>
      <color rgb="FF9C6500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b/>
      <sz val="11"/>
      <name val="Arial"/>
      <family val="2"/>
    </font>
    <font>
      <sz val="8"/>
      <color rgb="FF7030A0"/>
      <name val="Times New Roman"/>
      <family val="1"/>
    </font>
    <font>
      <sz val="12"/>
      <name val="VNI-Aptima"/>
    </font>
    <font>
      <sz val="12"/>
      <name val="VNI-Times"/>
    </font>
    <font>
      <sz val="9"/>
      <name val="Times New Roman"/>
      <family val="1"/>
    </font>
    <font>
      <b/>
      <sz val="9"/>
      <name val="Times New Roman"/>
      <family val="1"/>
    </font>
    <font>
      <sz val="9"/>
      <color rgb="FFFF0000"/>
      <name val="Times New Roman"/>
      <family val="1"/>
    </font>
    <font>
      <b/>
      <sz val="9"/>
      <name val="Times New Roman"/>
      <family val="1"/>
      <charset val="163"/>
    </font>
    <font>
      <b/>
      <i/>
      <sz val="9"/>
      <name val="Times New Roman"/>
      <family val="1"/>
    </font>
    <font>
      <sz val="8"/>
      <color rgb="FF2B03BD"/>
      <name val="Times New Roman"/>
      <family val="1"/>
    </font>
    <font>
      <b/>
      <sz val="8"/>
      <color rgb="FF2B03BD"/>
      <name val="Times New Roman"/>
      <family val="1"/>
    </font>
    <font>
      <b/>
      <sz val="9"/>
      <color rgb="FF2B03BD"/>
      <name val="Times New Roman"/>
      <family val="1"/>
    </font>
    <font>
      <sz val="9"/>
      <color rgb="FF2B03BD"/>
      <name val="Times New Roman"/>
      <family val="1"/>
    </font>
    <font>
      <sz val="8"/>
      <color rgb="FF2B03BD"/>
      <name val="VNI-Times"/>
    </font>
    <font>
      <sz val="8"/>
      <color theme="3" tint="0.39997558519241921"/>
      <name val="Times New Roman"/>
      <family val="1"/>
    </font>
    <font>
      <sz val="9"/>
      <color indexed="81"/>
      <name val="Tahoma"/>
      <charset val="163"/>
    </font>
    <font>
      <b/>
      <sz val="9"/>
      <color indexed="81"/>
      <name val="Tahoma"/>
      <charset val="163"/>
    </font>
    <font>
      <b/>
      <sz val="8"/>
      <name val="Cambria"/>
      <family val="1"/>
      <charset val="163"/>
      <scheme val="major"/>
    </font>
  </fonts>
  <fills count="62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37">
    <xf numFmtId="0" fontId="0" fillId="0" borderId="0"/>
    <xf numFmtId="43" fontId="1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5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15" fillId="0" borderId="0"/>
    <xf numFmtId="0" fontId="25" fillId="0" borderId="0"/>
    <xf numFmtId="0" fontId="24" fillId="0" borderId="0"/>
    <xf numFmtId="9" fontId="15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3" fillId="0" borderId="0"/>
    <xf numFmtId="0" fontId="11" fillId="0" borderId="0"/>
    <xf numFmtId="9" fontId="13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0" fontId="40" fillId="0" borderId="0"/>
    <xf numFmtId="43" fontId="39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11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5" fillId="0" borderId="0"/>
    <xf numFmtId="43" fontId="13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37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70" fillId="38" borderId="0" applyNumberFormat="0" applyBorder="0" applyAlignment="0" applyProtection="0"/>
    <xf numFmtId="0" fontId="70" fillId="42" borderId="0" applyNumberFormat="0" applyBorder="0" applyAlignment="0" applyProtection="0"/>
    <xf numFmtId="0" fontId="70" fillId="46" borderId="0" applyNumberFormat="0" applyBorder="0" applyAlignment="0" applyProtection="0"/>
    <xf numFmtId="0" fontId="70" fillId="50" borderId="0" applyNumberFormat="0" applyBorder="0" applyAlignment="0" applyProtection="0"/>
    <xf numFmtId="0" fontId="70" fillId="54" borderId="0" applyNumberFormat="0" applyBorder="0" applyAlignment="0" applyProtection="0"/>
    <xf numFmtId="0" fontId="70" fillId="58" borderId="0" applyNumberFormat="0" applyBorder="0" applyAlignment="0" applyProtection="0"/>
    <xf numFmtId="0" fontId="70" fillId="35" borderId="0" applyNumberFormat="0" applyBorder="0" applyAlignment="0" applyProtection="0"/>
    <xf numFmtId="0" fontId="70" fillId="39" borderId="0" applyNumberFormat="0" applyBorder="0" applyAlignment="0" applyProtection="0"/>
    <xf numFmtId="0" fontId="70" fillId="43" borderId="0" applyNumberFormat="0" applyBorder="0" applyAlignment="0" applyProtection="0"/>
    <xf numFmtId="0" fontId="70" fillId="47" borderId="0" applyNumberFormat="0" applyBorder="0" applyAlignment="0" applyProtection="0"/>
    <xf numFmtId="0" fontId="70" fillId="51" borderId="0" applyNumberFormat="0" applyBorder="0" applyAlignment="0" applyProtection="0"/>
    <xf numFmtId="0" fontId="70" fillId="55" borderId="0" applyNumberFormat="0" applyBorder="0" applyAlignment="0" applyProtection="0"/>
    <xf numFmtId="0" fontId="71" fillId="29" borderId="0" applyNumberFormat="0" applyBorder="0" applyAlignment="0" applyProtection="0"/>
    <xf numFmtId="0" fontId="72" fillId="32" borderId="37" applyNumberFormat="0" applyAlignment="0" applyProtection="0"/>
    <xf numFmtId="0" fontId="73" fillId="33" borderId="40" applyNumberFormat="0" applyAlignment="0" applyProtection="0"/>
    <xf numFmtId="0" fontId="74" fillId="0" borderId="0" applyNumberFormat="0" applyFill="0" applyBorder="0" applyAlignment="0" applyProtection="0"/>
    <xf numFmtId="0" fontId="75" fillId="28" borderId="0" applyNumberFormat="0" applyBorder="0" applyAlignment="0" applyProtection="0"/>
    <xf numFmtId="0" fontId="76" fillId="0" borderId="34" applyNumberFormat="0" applyFill="0" applyAlignment="0" applyProtection="0"/>
    <xf numFmtId="0" fontId="77" fillId="0" borderId="35" applyNumberFormat="0" applyFill="0" applyAlignment="0" applyProtection="0"/>
    <xf numFmtId="0" fontId="78" fillId="0" borderId="36" applyNumberFormat="0" applyFill="0" applyAlignment="0" applyProtection="0"/>
    <xf numFmtId="0" fontId="78" fillId="0" borderId="0" applyNumberFormat="0" applyFill="0" applyBorder="0" applyAlignment="0" applyProtection="0"/>
    <xf numFmtId="0" fontId="79" fillId="31" borderId="37" applyNumberFormat="0" applyAlignment="0" applyProtection="0"/>
    <xf numFmtId="0" fontId="80" fillId="0" borderId="39" applyNumberFormat="0" applyFill="0" applyAlignment="0" applyProtection="0"/>
    <xf numFmtId="0" fontId="81" fillId="30" borderId="0" applyNumberFormat="0" applyBorder="0" applyAlignment="0" applyProtection="0"/>
    <xf numFmtId="0" fontId="40" fillId="0" borderId="0"/>
    <xf numFmtId="0" fontId="11" fillId="34" borderId="41" applyNumberFormat="0" applyFont="0" applyAlignment="0" applyProtection="0"/>
    <xf numFmtId="0" fontId="82" fillId="32" borderId="38" applyNumberFormat="0" applyAlignment="0" applyProtection="0"/>
    <xf numFmtId="0" fontId="83" fillId="0" borderId="42" applyNumberFormat="0" applyFill="0" applyAlignment="0" applyProtection="0"/>
    <xf numFmtId="0" fontId="61" fillId="0" borderId="0" applyNumberForma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86" fillId="0" borderId="0"/>
    <xf numFmtId="43" fontId="86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86" fillId="0" borderId="0" applyFont="0" applyFill="0" applyBorder="0" applyAlignment="0" applyProtection="0"/>
    <xf numFmtId="44" fontId="86" fillId="0" borderId="0" applyFont="0" applyFill="0" applyBorder="0" applyAlignment="0" applyProtection="0"/>
    <xf numFmtId="44" fontId="86" fillId="0" borderId="0" applyFont="0" applyFill="0" applyBorder="0" applyAlignment="0" applyProtection="0"/>
    <xf numFmtId="0" fontId="86" fillId="0" borderId="0"/>
    <xf numFmtId="0" fontId="86" fillId="0" borderId="0"/>
    <xf numFmtId="0" fontId="86" fillId="0" borderId="0"/>
    <xf numFmtId="0" fontId="87" fillId="0" borderId="0"/>
    <xf numFmtId="0" fontId="86" fillId="0" borderId="0"/>
    <xf numFmtId="0" fontId="2" fillId="0" borderId="0"/>
    <xf numFmtId="16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37">
    <xf numFmtId="0" fontId="0" fillId="0" borderId="0" xfId="0"/>
    <xf numFmtId="0" fontId="16" fillId="0" borderId="0" xfId="0" applyFont="1"/>
    <xf numFmtId="165" fontId="0" fillId="0" borderId="0" xfId="1" applyNumberFormat="1" applyFont="1"/>
    <xf numFmtId="0" fontId="17" fillId="0" borderId="0" xfId="0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65" fontId="0" fillId="0" borderId="14" xfId="0" applyNumberFormat="1" applyBorder="1"/>
    <xf numFmtId="0" fontId="16" fillId="0" borderId="15" xfId="0" applyFont="1" applyBorder="1"/>
    <xf numFmtId="0" fontId="16" fillId="0" borderId="16" xfId="0" applyFont="1" applyBorder="1"/>
    <xf numFmtId="165" fontId="16" fillId="0" borderId="16" xfId="1" applyNumberFormat="1" applyFont="1" applyBorder="1"/>
    <xf numFmtId="0" fontId="16" fillId="0" borderId="17" xfId="0" applyFont="1" applyBorder="1"/>
    <xf numFmtId="165" fontId="0" fillId="0" borderId="13" xfId="1" applyNumberFormat="1" applyFont="1" applyFill="1" applyBorder="1"/>
    <xf numFmtId="0" fontId="0" fillId="0" borderId="13" xfId="0" applyFill="1" applyBorder="1"/>
    <xf numFmtId="0" fontId="0" fillId="0" borderId="14" xfId="0" applyFill="1" applyBorder="1"/>
    <xf numFmtId="0" fontId="0" fillId="2" borderId="13" xfId="0" applyFill="1" applyBorder="1"/>
    <xf numFmtId="0" fontId="0" fillId="0" borderId="0" xfId="0" applyFont="1"/>
    <xf numFmtId="0" fontId="0" fillId="2" borderId="0" xfId="0" applyFill="1"/>
    <xf numFmtId="0" fontId="0" fillId="2" borderId="12" xfId="0" applyFill="1" applyBorder="1"/>
    <xf numFmtId="165" fontId="15" fillId="2" borderId="13" xfId="1" applyNumberFormat="1" applyFont="1" applyFill="1" applyBorder="1"/>
    <xf numFmtId="0" fontId="0" fillId="2" borderId="14" xfId="0" applyFill="1" applyBorder="1"/>
    <xf numFmtId="165" fontId="0" fillId="2" borderId="14" xfId="0" applyNumberFormat="1" applyFill="1" applyBorder="1"/>
    <xf numFmtId="165" fontId="16" fillId="0" borderId="0" xfId="1" applyNumberFormat="1" applyFont="1"/>
    <xf numFmtId="0" fontId="18" fillId="0" borderId="1" xfId="7" applyFont="1" applyFill="1" applyBorder="1" applyAlignment="1" applyProtection="1">
      <alignment horizontal="left" vertical="center"/>
    </xf>
    <xf numFmtId="0" fontId="0" fillId="0" borderId="0" xfId="0" applyFill="1"/>
    <xf numFmtId="165" fontId="0" fillId="0" borderId="13" xfId="2" applyNumberFormat="1" applyFont="1" applyFill="1" applyBorder="1"/>
    <xf numFmtId="165" fontId="16" fillId="0" borderId="16" xfId="2" applyNumberFormat="1" applyFont="1" applyBorder="1"/>
    <xf numFmtId="0" fontId="0" fillId="0" borderId="12" xfId="0" applyFill="1" applyBorder="1"/>
    <xf numFmtId="165" fontId="15" fillId="0" borderId="13" xfId="2" applyNumberFormat="1" applyFont="1" applyFill="1" applyBorder="1"/>
    <xf numFmtId="165" fontId="26" fillId="0" borderId="14" xfId="0" applyNumberFormat="1" applyFont="1" applyBorder="1"/>
    <xf numFmtId="0" fontId="26" fillId="0" borderId="0" xfId="0" applyFont="1"/>
    <xf numFmtId="0" fontId="26" fillId="0" borderId="12" xfId="0" applyFont="1" applyBorder="1"/>
    <xf numFmtId="0" fontId="26" fillId="0" borderId="13" xfId="0" applyFont="1" applyBorder="1"/>
    <xf numFmtId="165" fontId="26" fillId="0" borderId="13" xfId="2" applyNumberFormat="1" applyFont="1" applyFill="1" applyBorder="1"/>
    <xf numFmtId="0" fontId="26" fillId="0" borderId="13" xfId="0" applyFont="1" applyFill="1" applyBorder="1"/>
    <xf numFmtId="0" fontId="26" fillId="0" borderId="14" xfId="0" applyFont="1" applyFill="1" applyBorder="1"/>
    <xf numFmtId="165" fontId="0" fillId="0" borderId="10" xfId="1" applyNumberFormat="1" applyFont="1" applyBorder="1"/>
    <xf numFmtId="165" fontId="26" fillId="0" borderId="13" xfId="1" applyNumberFormat="1" applyFont="1" applyFill="1" applyBorder="1"/>
    <xf numFmtId="0" fontId="0" fillId="0" borderId="0" xfId="0" quotePrefix="1"/>
    <xf numFmtId="14" fontId="0" fillId="0" borderId="0" xfId="0" quotePrefix="1" applyNumberFormat="1"/>
    <xf numFmtId="17" fontId="0" fillId="0" borderId="0" xfId="0" quotePrefix="1" applyNumberFormat="1"/>
    <xf numFmtId="0" fontId="26" fillId="0" borderId="0" xfId="0" applyFont="1" applyFill="1"/>
    <xf numFmtId="165" fontId="15" fillId="0" borderId="13" xfId="1" applyNumberFormat="1" applyFont="1" applyFill="1" applyBorder="1"/>
    <xf numFmtId="165" fontId="0" fillId="0" borderId="14" xfId="0" applyNumberFormat="1" applyFill="1" applyBorder="1"/>
    <xf numFmtId="0" fontId="26" fillId="0" borderId="12" xfId="0" applyFont="1" applyFill="1" applyBorder="1"/>
    <xf numFmtId="165" fontId="26" fillId="0" borderId="14" xfId="0" applyNumberFormat="1" applyFont="1" applyFill="1" applyBorder="1"/>
    <xf numFmtId="14" fontId="18" fillId="0" borderId="1" xfId="7" applyNumberFormat="1" applyFont="1" applyFill="1" applyBorder="1" applyProtection="1"/>
    <xf numFmtId="14" fontId="18" fillId="0" borderId="4" xfId="7" applyNumberFormat="1" applyFont="1" applyFill="1" applyBorder="1" applyProtection="1"/>
    <xf numFmtId="0" fontId="0" fillId="0" borderId="1" xfId="0" applyFont="1" applyBorder="1"/>
    <xf numFmtId="0" fontId="19" fillId="8" borderId="2" xfId="7" applyFont="1" applyFill="1" applyBorder="1" applyAlignment="1" applyProtection="1">
      <alignment horizontal="left" vertical="center" wrapText="1"/>
    </xf>
    <xf numFmtId="14" fontId="18" fillId="8" borderId="1" xfId="7" applyNumberFormat="1" applyFont="1" applyFill="1" applyBorder="1" applyProtection="1"/>
    <xf numFmtId="0" fontId="19" fillId="10" borderId="2" xfId="7" applyFont="1" applyFill="1" applyBorder="1" applyAlignment="1" applyProtection="1">
      <alignment horizontal="left" vertical="center" wrapText="1"/>
    </xf>
    <xf numFmtId="0" fontId="19" fillId="10" borderId="1" xfId="7" applyFont="1" applyFill="1" applyBorder="1" applyAlignment="1" applyProtection="1">
      <alignment horizontal="left" vertical="center"/>
    </xf>
    <xf numFmtId="14" fontId="18" fillId="10" borderId="1" xfId="7" applyNumberFormat="1" applyFont="1" applyFill="1" applyBorder="1" applyProtection="1"/>
    <xf numFmtId="0" fontId="16" fillId="14" borderId="18" xfId="0" applyFont="1" applyFill="1" applyBorder="1" applyAlignment="1">
      <alignment horizontal="center"/>
    </xf>
    <xf numFmtId="14" fontId="18" fillId="14" borderId="1" xfId="7" applyNumberFormat="1" applyFont="1" applyFill="1" applyBorder="1" applyProtection="1"/>
    <xf numFmtId="0" fontId="0" fillId="0" borderId="0" xfId="0" applyFont="1" applyAlignment="1">
      <alignment horizontal="center" vertical="center"/>
    </xf>
    <xf numFmtId="0" fontId="19" fillId="13" borderId="1" xfId="0" applyFont="1" applyFill="1" applyBorder="1" applyAlignment="1" applyProtection="1">
      <alignment horizontal="left" vertical="center"/>
    </xf>
    <xf numFmtId="0" fontId="19" fillId="13" borderId="5" xfId="0" applyFont="1" applyFill="1" applyBorder="1" applyAlignment="1" applyProtection="1">
      <alignment horizontal="left" vertical="center"/>
    </xf>
    <xf numFmtId="0" fontId="19" fillId="13" borderId="5" xfId="0" applyFont="1" applyFill="1" applyBorder="1" applyAlignment="1" applyProtection="1">
      <alignment horizontal="center" vertical="center"/>
    </xf>
    <xf numFmtId="0" fontId="0" fillId="6" borderId="1" xfId="0" applyFont="1" applyFill="1" applyBorder="1"/>
    <xf numFmtId="0" fontId="0" fillId="14" borderId="1" xfId="0" applyFont="1" applyFill="1" applyBorder="1"/>
    <xf numFmtId="0" fontId="0" fillId="13" borderId="1" xfId="0" applyFont="1" applyFill="1" applyBorder="1"/>
    <xf numFmtId="0" fontId="18" fillId="0" borderId="1" xfId="0" applyFont="1" applyFill="1" applyBorder="1" applyAlignment="1" applyProtection="1">
      <alignment horizontal="left" vertical="center"/>
    </xf>
    <xf numFmtId="14" fontId="18" fillId="0" borderId="5" xfId="1" applyNumberFormat="1" applyFont="1" applyFill="1" applyBorder="1" applyAlignment="1" applyProtection="1">
      <alignment horizontal="center" vertical="center"/>
    </xf>
    <xf numFmtId="0" fontId="18" fillId="0" borderId="5" xfId="1" applyNumberFormat="1" applyFont="1" applyFill="1" applyBorder="1" applyAlignment="1" applyProtection="1">
      <alignment horizontal="center" vertical="center"/>
    </xf>
    <xf numFmtId="0" fontId="19" fillId="10" borderId="1" xfId="0" applyFont="1" applyFill="1" applyBorder="1" applyAlignment="1" applyProtection="1">
      <alignment horizontal="left" vertical="center"/>
    </xf>
    <xf numFmtId="14" fontId="19" fillId="10" borderId="5" xfId="1" applyNumberFormat="1" applyFont="1" applyFill="1" applyBorder="1" applyAlignment="1" applyProtection="1">
      <alignment horizontal="center" vertical="center"/>
    </xf>
    <xf numFmtId="14" fontId="19" fillId="14" borderId="5" xfId="1" applyNumberFormat="1" applyFont="1" applyFill="1" applyBorder="1" applyAlignment="1" applyProtection="1">
      <alignment horizontal="center" vertical="center"/>
    </xf>
    <xf numFmtId="14" fontId="18" fillId="0" borderId="5" xfId="2" applyNumberFormat="1" applyFont="1" applyFill="1" applyBorder="1" applyAlignment="1" applyProtection="1">
      <alignment horizontal="center" vertical="center"/>
    </xf>
    <xf numFmtId="0" fontId="18" fillId="0" borderId="1" xfId="0" applyFont="1" applyFill="1" applyBorder="1" applyAlignment="1" applyProtection="1">
      <alignment horizontal="left" vertical="center" wrapText="1"/>
    </xf>
    <xf numFmtId="14" fontId="18" fillId="0" borderId="5" xfId="0" applyNumberFormat="1" applyFont="1" applyFill="1" applyBorder="1" applyAlignment="1" applyProtection="1">
      <alignment horizontal="center" vertical="center" wrapText="1"/>
    </xf>
    <xf numFmtId="0" fontId="0" fillId="15" borderId="1" xfId="0" applyFont="1" applyFill="1" applyBorder="1"/>
    <xf numFmtId="0" fontId="0" fillId="11" borderId="0" xfId="0" applyFont="1" applyFill="1"/>
    <xf numFmtId="0" fontId="0" fillId="14" borderId="0" xfId="0" applyFont="1" applyFill="1"/>
    <xf numFmtId="0" fontId="0" fillId="0" borderId="5" xfId="0" applyFont="1" applyBorder="1"/>
    <xf numFmtId="0" fontId="0" fillId="14" borderId="5" xfId="0" applyFont="1" applyFill="1" applyBorder="1"/>
    <xf numFmtId="0" fontId="0" fillId="0" borderId="5" xfId="0" applyFont="1" applyFill="1" applyBorder="1"/>
    <xf numFmtId="0" fontId="28" fillId="13" borderId="19" xfId="0" applyFont="1" applyFill="1" applyBorder="1" applyAlignment="1">
      <alignment horizontal="center"/>
    </xf>
    <xf numFmtId="14" fontId="29" fillId="10" borderId="5" xfId="1" applyNumberFormat="1" applyFont="1" applyFill="1" applyBorder="1" applyAlignment="1" applyProtection="1">
      <alignment horizontal="center" vertical="center"/>
    </xf>
    <xf numFmtId="0" fontId="28" fillId="13" borderId="2" xfId="0" applyFont="1" applyFill="1" applyBorder="1"/>
    <xf numFmtId="0" fontId="28" fillId="0" borderId="1" xfId="0" applyFont="1" applyBorder="1"/>
    <xf numFmtId="0" fontId="28" fillId="15" borderId="1" xfId="0" applyFont="1" applyFill="1" applyBorder="1"/>
    <xf numFmtId="0" fontId="28" fillId="11" borderId="0" xfId="0" applyFont="1" applyFill="1"/>
    <xf numFmtId="14" fontId="29" fillId="8" borderId="1" xfId="7" applyNumberFormat="1" applyFont="1" applyFill="1" applyBorder="1" applyProtection="1"/>
    <xf numFmtId="14" fontId="29" fillId="10" borderId="1" xfId="7" applyNumberFormat="1" applyFont="1" applyFill="1" applyBorder="1" applyProtection="1"/>
    <xf numFmtId="0" fontId="28" fillId="0" borderId="0" xfId="0" applyFont="1"/>
    <xf numFmtId="14" fontId="31" fillId="0" borderId="0" xfId="8" applyNumberFormat="1" applyFont="1" applyAlignment="1">
      <alignment horizontal="right"/>
    </xf>
    <xf numFmtId="14" fontId="19" fillId="10" borderId="5" xfId="1" applyNumberFormat="1" applyFont="1" applyFill="1" applyBorder="1" applyAlignment="1" applyProtection="1">
      <alignment horizontal="right" vertical="center"/>
    </xf>
    <xf numFmtId="14" fontId="18" fillId="0" borderId="5" xfId="1" applyNumberFormat="1" applyFont="1" applyFill="1" applyBorder="1" applyAlignment="1" applyProtection="1">
      <alignment horizontal="right" vertical="center"/>
    </xf>
    <xf numFmtId="0" fontId="18" fillId="0" borderId="0" xfId="0" applyFont="1" applyAlignment="1">
      <alignment horizontal="right"/>
    </xf>
    <xf numFmtId="0" fontId="31" fillId="0" borderId="0" xfId="8" quotePrefix="1" applyFont="1" applyAlignment="1">
      <alignment horizontal="right"/>
    </xf>
    <xf numFmtId="14" fontId="18" fillId="0" borderId="5" xfId="2" applyNumberFormat="1" applyFont="1" applyFill="1" applyBorder="1" applyAlignment="1" applyProtection="1">
      <alignment horizontal="right" vertical="center"/>
    </xf>
    <xf numFmtId="14" fontId="18" fillId="0" borderId="5" xfId="0" applyNumberFormat="1" applyFont="1" applyFill="1" applyBorder="1" applyAlignment="1" applyProtection="1">
      <alignment horizontal="right" vertical="center" wrapText="1"/>
    </xf>
    <xf numFmtId="0" fontId="18" fillId="11" borderId="0" xfId="0" applyFont="1" applyFill="1" applyAlignment="1">
      <alignment horizontal="right"/>
    </xf>
    <xf numFmtId="14" fontId="18" fillId="8" borderId="1" xfId="7" applyNumberFormat="1" applyFont="1" applyFill="1" applyBorder="1" applyAlignment="1" applyProtection="1">
      <alignment horizontal="right"/>
    </xf>
    <xf numFmtId="14" fontId="18" fillId="10" borderId="1" xfId="7" applyNumberFormat="1" applyFont="1" applyFill="1" applyBorder="1" applyAlignment="1" applyProtection="1">
      <alignment horizontal="right"/>
    </xf>
    <xf numFmtId="14" fontId="18" fillId="0" borderId="5" xfId="7" applyNumberFormat="1" applyFont="1" applyFill="1" applyBorder="1" applyAlignment="1" applyProtection="1">
      <alignment horizontal="right"/>
    </xf>
    <xf numFmtId="14" fontId="18" fillId="0" borderId="20" xfId="7" applyNumberFormat="1" applyFont="1" applyFill="1" applyBorder="1" applyAlignment="1" applyProtection="1">
      <alignment horizontal="right"/>
    </xf>
    <xf numFmtId="0" fontId="32" fillId="0" borderId="0" xfId="8" quotePrefix="1" applyFont="1" applyAlignment="1">
      <alignment horizontal="right"/>
    </xf>
    <xf numFmtId="0" fontId="31" fillId="0" borderId="4" xfId="0" quotePrefix="1" applyFont="1" applyBorder="1" applyAlignment="1">
      <alignment horizontal="right"/>
    </xf>
    <xf numFmtId="0" fontId="31" fillId="0" borderId="1" xfId="8" quotePrefix="1" applyFont="1" applyBorder="1" applyAlignment="1">
      <alignment horizontal="right"/>
    </xf>
    <xf numFmtId="0" fontId="33" fillId="0" borderId="1" xfId="7" applyFont="1" applyFill="1" applyBorder="1" applyAlignment="1" applyProtection="1">
      <alignment horizontal="left" vertical="center"/>
    </xf>
    <xf numFmtId="14" fontId="33" fillId="0" borderId="1" xfId="7" applyNumberFormat="1" applyFont="1" applyFill="1" applyBorder="1" applyProtection="1"/>
    <xf numFmtId="14" fontId="33" fillId="0" borderId="5" xfId="7" applyNumberFormat="1" applyFont="1" applyFill="1" applyBorder="1" applyAlignment="1" applyProtection="1">
      <alignment horizontal="right"/>
    </xf>
    <xf numFmtId="0" fontId="33" fillId="0" borderId="5" xfId="1" applyNumberFormat="1" applyFont="1" applyFill="1" applyBorder="1" applyAlignment="1" applyProtection="1">
      <alignment horizontal="center" vertical="center"/>
    </xf>
    <xf numFmtId="0" fontId="34" fillId="0" borderId="1" xfId="0" applyFont="1" applyBorder="1"/>
    <xf numFmtId="0" fontId="34" fillId="14" borderId="1" xfId="0" applyFont="1" applyFill="1" applyBorder="1"/>
    <xf numFmtId="0" fontId="35" fillId="0" borderId="1" xfId="0" applyFont="1" applyBorder="1"/>
    <xf numFmtId="0" fontId="34" fillId="0" borderId="0" xfId="0" applyFont="1"/>
    <xf numFmtId="0" fontId="0" fillId="6" borderId="0" xfId="0" applyFont="1" applyFill="1"/>
    <xf numFmtId="14" fontId="19" fillId="6" borderId="5" xfId="1" applyNumberFormat="1" applyFont="1" applyFill="1" applyBorder="1" applyAlignment="1" applyProtection="1">
      <alignment horizontal="center" vertical="center"/>
    </xf>
    <xf numFmtId="0" fontId="0" fillId="6" borderId="5" xfId="0" applyFont="1" applyFill="1" applyBorder="1"/>
    <xf numFmtId="14" fontId="18" fillId="6" borderId="1" xfId="7" applyNumberFormat="1" applyFont="1" applyFill="1" applyBorder="1" applyProtection="1"/>
    <xf numFmtId="0" fontId="34" fillId="6" borderId="1" xfId="0" applyFont="1" applyFill="1" applyBorder="1"/>
    <xf numFmtId="0" fontId="18" fillId="0" borderId="1" xfId="0" applyFont="1" applyBorder="1" applyAlignment="1">
      <alignment horizontal="right"/>
    </xf>
    <xf numFmtId="0" fontId="36" fillId="0" borderId="1" xfId="7" applyFont="1" applyFill="1" applyBorder="1" applyAlignment="1" applyProtection="1">
      <alignment horizontal="left" vertical="center"/>
    </xf>
    <xf numFmtId="14" fontId="36" fillId="0" borderId="1" xfId="7" applyNumberFormat="1" applyFont="1" applyFill="1" applyBorder="1" applyProtection="1"/>
    <xf numFmtId="14" fontId="36" fillId="0" borderId="5" xfId="7" applyNumberFormat="1" applyFont="1" applyFill="1" applyBorder="1" applyAlignment="1" applyProtection="1">
      <alignment horizontal="right"/>
    </xf>
    <xf numFmtId="0" fontId="36" fillId="0" borderId="5" xfId="1" applyNumberFormat="1" applyFont="1" applyFill="1" applyBorder="1" applyAlignment="1" applyProtection="1">
      <alignment horizontal="center" vertical="center"/>
    </xf>
    <xf numFmtId="0" fontId="37" fillId="0" borderId="1" xfId="0" applyFont="1" applyBorder="1"/>
    <xf numFmtId="0" fontId="37" fillId="14" borderId="1" xfId="0" applyFont="1" applyFill="1" applyBorder="1"/>
    <xf numFmtId="0" fontId="37" fillId="6" borderId="1" xfId="0" applyFont="1" applyFill="1" applyBorder="1"/>
    <xf numFmtId="0" fontId="38" fillId="0" borderId="1" xfId="0" applyFont="1" applyBorder="1"/>
    <xf numFmtId="0" fontId="0" fillId="8" borderId="1" xfId="0" applyFont="1" applyFill="1" applyBorder="1"/>
    <xf numFmtId="0" fontId="0" fillId="0" borderId="0" xfId="0" applyFont="1" applyFill="1"/>
    <xf numFmtId="0" fontId="0" fillId="0" borderId="1" xfId="0" applyFont="1" applyFill="1" applyBorder="1"/>
    <xf numFmtId="14" fontId="19" fillId="0" borderId="5" xfId="1" applyNumberFormat="1" applyFont="1" applyFill="1" applyBorder="1" applyAlignment="1" applyProtection="1">
      <alignment horizontal="center" vertical="center"/>
    </xf>
    <xf numFmtId="0" fontId="34" fillId="0" borderId="1" xfId="0" applyFont="1" applyFill="1" applyBorder="1"/>
    <xf numFmtId="0" fontId="37" fillId="0" borderId="1" xfId="0" applyFont="1" applyFill="1" applyBorder="1"/>
    <xf numFmtId="0" fontId="0" fillId="11" borderId="1" xfId="0" applyFont="1" applyFill="1" applyBorder="1"/>
    <xf numFmtId="0" fontId="20" fillId="13" borderId="0" xfId="0" applyFont="1" applyFill="1" applyAlignment="1">
      <alignment horizontal="center"/>
    </xf>
    <xf numFmtId="0" fontId="0" fillId="13" borderId="0" xfId="0" applyFont="1" applyFill="1"/>
    <xf numFmtId="0" fontId="16" fillId="13" borderId="20" xfId="0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/>
    </xf>
    <xf numFmtId="14" fontId="19" fillId="13" borderId="5" xfId="1" applyNumberFormat="1" applyFont="1" applyFill="1" applyBorder="1" applyAlignment="1" applyProtection="1">
      <alignment horizontal="center" vertical="center"/>
    </xf>
    <xf numFmtId="0" fontId="0" fillId="13" borderId="5" xfId="0" applyFont="1" applyFill="1" applyBorder="1"/>
    <xf numFmtId="14" fontId="18" fillId="13" borderId="1" xfId="7" applyNumberFormat="1" applyFont="1" applyFill="1" applyBorder="1" applyProtection="1"/>
    <xf numFmtId="0" fontId="34" fillId="13" borderId="1" xfId="0" applyFont="1" applyFill="1" applyBorder="1"/>
    <xf numFmtId="0" fontId="37" fillId="13" borderId="1" xfId="0" applyFont="1" applyFill="1" applyBorder="1"/>
    <xf numFmtId="0" fontId="26" fillId="0" borderId="1" xfId="0" applyFont="1" applyBorder="1"/>
    <xf numFmtId="0" fontId="28" fillId="0" borderId="2" xfId="0" applyFont="1" applyBorder="1" applyAlignment="1">
      <alignment horizontal="center" vertical="center"/>
    </xf>
    <xf numFmtId="0" fontId="28" fillId="0" borderId="5" xfId="0" applyFont="1" applyBorder="1"/>
    <xf numFmtId="0" fontId="0" fillId="17" borderId="1" xfId="0" applyFont="1" applyFill="1" applyBorder="1"/>
    <xf numFmtId="0" fontId="28" fillId="17" borderId="1" xfId="0" applyFont="1" applyFill="1" applyBorder="1"/>
    <xf numFmtId="14" fontId="27" fillId="0" borderId="5" xfId="1" applyNumberFormat="1" applyFont="1" applyFill="1" applyBorder="1" applyAlignment="1" applyProtection="1">
      <alignment horizontal="center" vertical="center"/>
    </xf>
    <xf numFmtId="14" fontId="18" fillId="0" borderId="0" xfId="1" applyNumberFormat="1" applyFont="1" applyFill="1" applyBorder="1" applyAlignment="1" applyProtection="1">
      <alignment horizontal="center" vertical="center"/>
    </xf>
    <xf numFmtId="14" fontId="18" fillId="0" borderId="0" xfId="2" applyNumberFormat="1" applyFont="1" applyFill="1" applyBorder="1" applyAlignment="1" applyProtection="1">
      <alignment horizontal="center" vertical="center"/>
    </xf>
    <xf numFmtId="14" fontId="18" fillId="0" borderId="20" xfId="1" applyNumberFormat="1" applyFont="1" applyFill="1" applyBorder="1" applyAlignment="1" applyProtection="1">
      <alignment horizontal="center" vertical="center"/>
    </xf>
    <xf numFmtId="14" fontId="18" fillId="0" borderId="0" xfId="7" applyNumberFormat="1" applyFont="1" applyFill="1" applyBorder="1" applyProtection="1"/>
    <xf numFmtId="14" fontId="18" fillId="0" borderId="5" xfId="7" applyNumberFormat="1" applyFont="1" applyFill="1" applyBorder="1" applyProtection="1"/>
    <xf numFmtId="14" fontId="33" fillId="0" borderId="5" xfId="7" applyNumberFormat="1" applyFont="1" applyFill="1" applyBorder="1" applyProtection="1"/>
    <xf numFmtId="14" fontId="36" fillId="0" borderId="5" xfId="7" applyNumberFormat="1" applyFont="1" applyFill="1" applyBorder="1" applyProtection="1"/>
    <xf numFmtId="14" fontId="18" fillId="0" borderId="20" xfId="7" applyNumberFormat="1" applyFont="1" applyFill="1" applyBorder="1" applyProtection="1"/>
    <xf numFmtId="0" fontId="19" fillId="13" borderId="5" xfId="0" applyFont="1" applyFill="1" applyBorder="1" applyAlignment="1" applyProtection="1">
      <alignment horizontal="right" vertical="center" wrapText="1"/>
    </xf>
    <xf numFmtId="0" fontId="28" fillId="0" borderId="2" xfId="0" applyFont="1" applyBorder="1"/>
    <xf numFmtId="14" fontId="18" fillId="0" borderId="1" xfId="2" applyNumberFormat="1" applyFont="1" applyFill="1" applyBorder="1" applyAlignment="1" applyProtection="1">
      <alignment horizontal="center" vertical="center"/>
    </xf>
    <xf numFmtId="14" fontId="18" fillId="0" borderId="1" xfId="2" applyNumberFormat="1" applyFont="1" applyFill="1" applyBorder="1" applyAlignment="1" applyProtection="1">
      <alignment horizontal="right" vertical="center"/>
    </xf>
    <xf numFmtId="0" fontId="18" fillId="0" borderId="1" xfId="1" applyNumberFormat="1" applyFont="1" applyFill="1" applyBorder="1" applyAlignment="1" applyProtection="1">
      <alignment horizontal="center" vertical="center"/>
    </xf>
    <xf numFmtId="165" fontId="16" fillId="0" borderId="0" xfId="0" applyNumberFormat="1" applyFont="1"/>
    <xf numFmtId="0" fontId="0" fillId="0" borderId="2" xfId="0" applyFont="1" applyBorder="1"/>
    <xf numFmtId="0" fontId="28" fillId="4" borderId="1" xfId="0" applyFont="1" applyFill="1" applyBorder="1"/>
    <xf numFmtId="0" fontId="0" fillId="6" borderId="0" xfId="0" applyFill="1"/>
    <xf numFmtId="0" fontId="0" fillId="21" borderId="1" xfId="0" applyFont="1" applyFill="1" applyBorder="1"/>
    <xf numFmtId="0" fontId="44" fillId="0" borderId="0" xfId="0" applyFont="1"/>
    <xf numFmtId="0" fontId="44" fillId="15" borderId="0" xfId="0" applyFont="1" applyFill="1"/>
    <xf numFmtId="164" fontId="44" fillId="0" borderId="0" xfId="1" applyNumberFormat="1" applyFont="1" applyFill="1"/>
    <xf numFmtId="171" fontId="45" fillId="0" borderId="0" xfId="1" applyNumberFormat="1" applyFont="1"/>
    <xf numFmtId="0" fontId="46" fillId="0" borderId="0" xfId="0" applyFont="1" applyAlignment="1">
      <alignment horizontal="center"/>
    </xf>
    <xf numFmtId="0" fontId="46" fillId="0" borderId="0" xfId="0" applyFont="1"/>
    <xf numFmtId="171" fontId="46" fillId="0" borderId="0" xfId="1" applyNumberFormat="1" applyFont="1" applyAlignment="1"/>
    <xf numFmtId="172" fontId="47" fillId="0" borderId="0" xfId="1" applyNumberFormat="1" applyFont="1" applyAlignment="1"/>
    <xf numFmtId="172" fontId="46" fillId="0" borderId="0" xfId="1" applyNumberFormat="1" applyFont="1" applyAlignment="1"/>
    <xf numFmtId="0" fontId="46" fillId="15" borderId="0" xfId="0" applyFont="1" applyFill="1"/>
    <xf numFmtId="164" fontId="46" fillId="0" borderId="0" xfId="1" applyNumberFormat="1" applyFont="1" applyFill="1"/>
    <xf numFmtId="171" fontId="47" fillId="0" borderId="0" xfId="1" applyNumberFormat="1" applyFont="1"/>
    <xf numFmtId="0" fontId="48" fillId="13" borderId="31" xfId="0" applyFont="1" applyFill="1" applyBorder="1" applyAlignment="1">
      <alignment horizontal="center" vertical="center"/>
    </xf>
    <xf numFmtId="43" fontId="49" fillId="15" borderId="21" xfId="1" applyFont="1" applyFill="1" applyBorder="1" applyAlignment="1">
      <alignment horizontal="center" vertical="center"/>
    </xf>
    <xf numFmtId="0" fontId="44" fillId="0" borderId="0" xfId="0" applyFont="1" applyAlignment="1">
      <alignment horizontal="center"/>
    </xf>
    <xf numFmtId="0" fontId="48" fillId="13" borderId="2" xfId="0" applyFont="1" applyFill="1" applyBorder="1" applyAlignment="1">
      <alignment horizontal="center" vertical="center"/>
    </xf>
    <xf numFmtId="171" fontId="48" fillId="13" borderId="32" xfId="1" applyNumberFormat="1" applyFont="1" applyFill="1" applyBorder="1" applyAlignment="1">
      <alignment horizontal="center" vertical="center"/>
    </xf>
    <xf numFmtId="171" fontId="48" fillId="13" borderId="33" xfId="1" applyNumberFormat="1" applyFont="1" applyFill="1" applyBorder="1" applyAlignment="1">
      <alignment horizontal="center" vertical="center"/>
    </xf>
    <xf numFmtId="171" fontId="49" fillId="15" borderId="33" xfId="1" applyNumberFormat="1" applyFont="1" applyFill="1" applyBorder="1" applyAlignment="1">
      <alignment horizontal="center" vertical="center"/>
    </xf>
    <xf numFmtId="0" fontId="46" fillId="7" borderId="32" xfId="0" applyFont="1" applyFill="1" applyBorder="1" applyAlignment="1">
      <alignment horizontal="center"/>
    </xf>
    <xf numFmtId="0" fontId="45" fillId="7" borderId="32" xfId="0" applyFont="1" applyFill="1" applyBorder="1"/>
    <xf numFmtId="171" fontId="46" fillId="7" borderId="32" xfId="1" applyNumberFormat="1" applyFont="1" applyFill="1" applyBorder="1" applyAlignment="1"/>
    <xf numFmtId="171" fontId="46" fillId="7" borderId="33" xfId="1" applyNumberFormat="1" applyFont="1" applyFill="1" applyBorder="1" applyAlignment="1"/>
    <xf numFmtId="164" fontId="46" fillId="7" borderId="32" xfId="1" applyNumberFormat="1" applyFont="1" applyFill="1" applyBorder="1" applyAlignment="1"/>
    <xf numFmtId="171" fontId="47" fillId="7" borderId="33" xfId="1" applyNumberFormat="1" applyFont="1" applyFill="1" applyBorder="1" applyAlignment="1"/>
    <xf numFmtId="0" fontId="46" fillId="0" borderId="0" xfId="0" applyFont="1" applyFill="1"/>
    <xf numFmtId="171" fontId="50" fillId="7" borderId="32" xfId="1" applyNumberFormat="1" applyFont="1" applyFill="1" applyBorder="1" applyAlignment="1"/>
    <xf numFmtId="171" fontId="47" fillId="7" borderId="32" xfId="1" applyNumberFormat="1" applyFont="1" applyFill="1" applyBorder="1" applyAlignment="1"/>
    <xf numFmtId="0" fontId="46" fillId="0" borderId="32" xfId="0" applyFont="1" applyBorder="1" applyAlignment="1">
      <alignment horizontal="center"/>
    </xf>
    <xf numFmtId="0" fontId="46" fillId="0" borderId="32" xfId="0" applyFont="1" applyBorder="1" applyAlignment="1">
      <alignment horizontal="right"/>
    </xf>
    <xf numFmtId="171" fontId="47" fillId="0" borderId="32" xfId="1" applyNumberFormat="1" applyFont="1" applyBorder="1" applyAlignment="1"/>
    <xf numFmtId="171" fontId="50" fillId="0" borderId="32" xfId="1" applyNumberFormat="1" applyFont="1" applyBorder="1" applyAlignment="1"/>
    <xf numFmtId="171" fontId="50" fillId="15" borderId="33" xfId="1" applyNumberFormat="1" applyFont="1" applyFill="1" applyBorder="1" applyAlignment="1"/>
    <xf numFmtId="164" fontId="50" fillId="0" borderId="32" xfId="1" applyNumberFormat="1" applyFont="1" applyFill="1" applyBorder="1" applyAlignment="1"/>
    <xf numFmtId="171" fontId="47" fillId="0" borderId="32" xfId="1" applyNumberFormat="1" applyFont="1" applyBorder="1"/>
    <xf numFmtId="171" fontId="46" fillId="15" borderId="33" xfId="1" applyNumberFormat="1" applyFont="1" applyFill="1" applyBorder="1" applyAlignment="1"/>
    <xf numFmtId="164" fontId="46" fillId="0" borderId="32" xfId="1" applyNumberFormat="1" applyFont="1" applyFill="1" applyBorder="1" applyAlignment="1"/>
    <xf numFmtId="171" fontId="46" fillId="0" borderId="32" xfId="1" applyNumberFormat="1" applyFont="1" applyBorder="1" applyAlignment="1"/>
    <xf numFmtId="172" fontId="46" fillId="15" borderId="33" xfId="1" applyNumberFormat="1" applyFont="1" applyFill="1" applyBorder="1" applyAlignment="1"/>
    <xf numFmtId="0" fontId="46" fillId="24" borderId="32" xfId="0" applyFont="1" applyFill="1" applyBorder="1" applyAlignment="1">
      <alignment horizontal="center"/>
    </xf>
    <xf numFmtId="0" fontId="46" fillId="24" borderId="32" xfId="0" applyFont="1" applyFill="1" applyBorder="1" applyAlignment="1">
      <alignment horizontal="right"/>
    </xf>
    <xf numFmtId="171" fontId="46" fillId="24" borderId="32" xfId="1" applyNumberFormat="1" applyFont="1" applyFill="1" applyBorder="1" applyAlignment="1"/>
    <xf numFmtId="171" fontId="46" fillId="24" borderId="33" xfId="1" applyNumberFormat="1" applyFont="1" applyFill="1" applyBorder="1" applyAlignment="1"/>
    <xf numFmtId="164" fontId="46" fillId="24" borderId="32" xfId="1" applyNumberFormat="1" applyFont="1" applyFill="1" applyBorder="1" applyAlignment="1"/>
    <xf numFmtId="171" fontId="47" fillId="24" borderId="32" xfId="1" applyNumberFormat="1" applyFont="1" applyFill="1" applyBorder="1"/>
    <xf numFmtId="171" fontId="50" fillId="24" borderId="32" xfId="1" applyNumberFormat="1" applyFont="1" applyFill="1" applyBorder="1" applyAlignment="1"/>
    <xf numFmtId="171" fontId="50" fillId="24" borderId="33" xfId="1" applyNumberFormat="1" applyFont="1" applyFill="1" applyBorder="1" applyAlignment="1"/>
    <xf numFmtId="164" fontId="50" fillId="24" borderId="32" xfId="1" applyNumberFormat="1" applyFont="1" applyFill="1" applyBorder="1" applyAlignment="1"/>
    <xf numFmtId="0" fontId="46" fillId="0" borderId="32" xfId="0" applyFont="1" applyFill="1" applyBorder="1" applyAlignment="1">
      <alignment horizontal="right"/>
    </xf>
    <xf numFmtId="171" fontId="47" fillId="0" borderId="32" xfId="1" applyNumberFormat="1" applyFont="1" applyFill="1" applyBorder="1"/>
    <xf numFmtId="171" fontId="47" fillId="0" borderId="33" xfId="1" applyNumberFormat="1" applyFont="1" applyBorder="1"/>
    <xf numFmtId="0" fontId="46" fillId="9" borderId="32" xfId="0" applyFont="1" applyFill="1" applyBorder="1" applyAlignment="1">
      <alignment horizontal="right"/>
    </xf>
    <xf numFmtId="0" fontId="46" fillId="25" borderId="32" xfId="0" applyFont="1" applyFill="1" applyBorder="1" applyAlignment="1">
      <alignment horizontal="center"/>
    </xf>
    <xf numFmtId="0" fontId="44" fillId="25" borderId="32" xfId="0" applyFont="1" applyFill="1" applyBorder="1" applyAlignment="1">
      <alignment horizontal="right"/>
    </xf>
    <xf numFmtId="171" fontId="50" fillId="25" borderId="32" xfId="1" applyNumberFormat="1" applyFont="1" applyFill="1" applyBorder="1" applyAlignment="1"/>
    <xf numFmtId="171" fontId="46" fillId="25" borderId="32" xfId="1" applyNumberFormat="1" applyFont="1" applyFill="1" applyBorder="1" applyAlignment="1"/>
    <xf numFmtId="171" fontId="47" fillId="25" borderId="32" xfId="1" applyNumberFormat="1" applyFont="1" applyFill="1" applyBorder="1" applyAlignment="1"/>
    <xf numFmtId="164" fontId="46" fillId="25" borderId="32" xfId="1" applyNumberFormat="1" applyFont="1" applyFill="1" applyBorder="1" applyAlignment="1"/>
    <xf numFmtId="171" fontId="47" fillId="25" borderId="32" xfId="1" applyNumberFormat="1" applyFont="1" applyFill="1" applyBorder="1"/>
    <xf numFmtId="0" fontId="46" fillId="6" borderId="0" xfId="0" applyFont="1" applyFill="1"/>
    <xf numFmtId="0" fontId="44" fillId="0" borderId="32" xfId="0" applyFont="1" applyBorder="1" applyAlignment="1">
      <alignment horizontal="right"/>
    </xf>
    <xf numFmtId="0" fontId="46" fillId="0" borderId="32" xfId="0" applyFont="1" applyBorder="1"/>
    <xf numFmtId="0" fontId="26" fillId="0" borderId="32" xfId="0" applyFont="1" applyBorder="1"/>
    <xf numFmtId="0" fontId="16" fillId="0" borderId="32" xfId="0" applyFont="1" applyBorder="1"/>
    <xf numFmtId="0" fontId="41" fillId="10" borderId="2" xfId="15" applyFont="1" applyFill="1" applyBorder="1" applyAlignment="1" applyProtection="1">
      <alignment horizontal="center" vertical="center" wrapText="1"/>
    </xf>
    <xf numFmtId="165" fontId="41" fillId="10" borderId="2" xfId="1" applyNumberFormat="1" applyFont="1" applyFill="1" applyBorder="1" applyAlignment="1" applyProtection="1">
      <alignment horizontal="left" vertical="center" wrapText="1"/>
    </xf>
    <xf numFmtId="165" fontId="52" fillId="0" borderId="32" xfId="1" applyNumberFormat="1" applyFont="1" applyFill="1" applyBorder="1" applyAlignment="1" applyProtection="1">
      <alignment horizontal="left" vertical="center"/>
    </xf>
    <xf numFmtId="165" fontId="52" fillId="0" borderId="32" xfId="1" applyNumberFormat="1" applyFont="1" applyBorder="1" applyAlignment="1">
      <alignment horizontal="center"/>
    </xf>
    <xf numFmtId="165" fontId="41" fillId="10" borderId="32" xfId="1" applyNumberFormat="1" applyFont="1" applyFill="1" applyBorder="1" applyAlignment="1" applyProtection="1">
      <alignment horizontal="left" vertical="center" wrapText="1"/>
    </xf>
    <xf numFmtId="0" fontId="52" fillId="10" borderId="32" xfId="15" applyFont="1" applyFill="1" applyBorder="1" applyProtection="1"/>
    <xf numFmtId="165" fontId="41" fillId="10" borderId="32" xfId="1" applyNumberFormat="1" applyFont="1" applyFill="1" applyBorder="1" applyAlignment="1" applyProtection="1">
      <alignment horizontal="left" vertical="center"/>
    </xf>
    <xf numFmtId="0" fontId="52" fillId="0" borderId="0" xfId="0" applyFont="1" applyFill="1" applyProtection="1"/>
    <xf numFmtId="0" fontId="41" fillId="0" borderId="0" xfId="0" applyFont="1" applyFill="1" applyAlignment="1" applyProtection="1">
      <alignment vertical="top"/>
    </xf>
    <xf numFmtId="14" fontId="52" fillId="0" borderId="0" xfId="0" applyNumberFormat="1" applyFont="1" applyFill="1" applyProtection="1"/>
    <xf numFmtId="165" fontId="52" fillId="0" borderId="0" xfId="1" applyNumberFormat="1" applyFont="1" applyFill="1" applyProtection="1"/>
    <xf numFmtId="166" fontId="52" fillId="0" borderId="0" xfId="1" applyNumberFormat="1" applyFont="1" applyFill="1" applyProtection="1"/>
    <xf numFmtId="43" fontId="52" fillId="0" borderId="0" xfId="1" applyFont="1" applyFill="1" applyProtection="1"/>
    <xf numFmtId="165" fontId="41" fillId="0" borderId="0" xfId="1" applyNumberFormat="1" applyFont="1" applyFill="1" applyProtection="1"/>
    <xf numFmtId="166" fontId="41" fillId="0" borderId="0" xfId="1" applyNumberFormat="1" applyFont="1" applyFill="1" applyAlignment="1" applyProtection="1"/>
    <xf numFmtId="14" fontId="41" fillId="0" borderId="0" xfId="1" applyNumberFormat="1" applyFont="1" applyFill="1" applyAlignment="1" applyProtection="1"/>
    <xf numFmtId="166" fontId="41" fillId="0" borderId="0" xfId="1" applyNumberFormat="1" applyFont="1" applyFill="1" applyAlignment="1" applyProtection="1">
      <alignment horizontal="right"/>
    </xf>
    <xf numFmtId="166" fontId="53" fillId="0" borderId="0" xfId="1" applyNumberFormat="1" applyFont="1" applyFill="1" applyAlignment="1" applyProtection="1"/>
    <xf numFmtId="167" fontId="53" fillId="0" borderId="0" xfId="1" applyNumberFormat="1" applyFont="1" applyFill="1" applyAlignment="1" applyProtection="1"/>
    <xf numFmtId="0" fontId="41" fillId="0" borderId="0" xfId="0" applyFont="1" applyFill="1" applyProtection="1"/>
    <xf numFmtId="165" fontId="41" fillId="6" borderId="22" xfId="1" applyNumberFormat="1" applyFont="1" applyFill="1" applyBorder="1" applyAlignment="1" applyProtection="1">
      <alignment vertical="center" wrapText="1"/>
    </xf>
    <xf numFmtId="165" fontId="41" fillId="26" borderId="7" xfId="1" applyNumberFormat="1" applyFont="1" applyFill="1" applyBorder="1" applyAlignment="1" applyProtection="1">
      <alignment vertical="center"/>
    </xf>
    <xf numFmtId="165" fontId="41" fillId="26" borderId="0" xfId="1" applyNumberFormat="1" applyFont="1" applyFill="1" applyBorder="1" applyAlignment="1" applyProtection="1">
      <alignment vertical="center"/>
    </xf>
    <xf numFmtId="0" fontId="55" fillId="10" borderId="32" xfId="0" applyFont="1" applyFill="1" applyBorder="1"/>
    <xf numFmtId="0" fontId="56" fillId="10" borderId="32" xfId="0" applyFont="1" applyFill="1" applyBorder="1"/>
    <xf numFmtId="165" fontId="52" fillId="10" borderId="26" xfId="1" applyNumberFormat="1" applyFont="1" applyFill="1" applyBorder="1" applyAlignment="1" applyProtection="1">
      <alignment horizontal="center" vertical="center"/>
    </xf>
    <xf numFmtId="165" fontId="52" fillId="10" borderId="26" xfId="1" applyNumberFormat="1" applyFont="1" applyFill="1" applyBorder="1" applyAlignment="1" applyProtection="1">
      <alignment vertical="center"/>
    </xf>
    <xf numFmtId="165" fontId="41" fillId="10" borderId="26" xfId="1" applyNumberFormat="1" applyFont="1" applyFill="1" applyBorder="1" applyAlignment="1" applyProtection="1">
      <alignment vertical="center"/>
    </xf>
    <xf numFmtId="166" fontId="52" fillId="10" borderId="26" xfId="1" applyNumberFormat="1" applyFont="1" applyFill="1" applyBorder="1" applyAlignment="1" applyProtection="1">
      <alignment vertical="center"/>
    </xf>
    <xf numFmtId="165" fontId="52" fillId="10" borderId="28" xfId="1" applyNumberFormat="1" applyFont="1" applyFill="1" applyBorder="1" applyAlignment="1" applyProtection="1">
      <alignment vertical="center"/>
    </xf>
    <xf numFmtId="165" fontId="52" fillId="10" borderId="32" xfId="1" applyNumberFormat="1" applyFont="1" applyFill="1" applyBorder="1" applyAlignment="1" applyProtection="1">
      <alignment vertical="center"/>
    </xf>
    <xf numFmtId="165" fontId="41" fillId="10" borderId="26" xfId="1" applyNumberFormat="1" applyFont="1" applyFill="1" applyBorder="1" applyAlignment="1" applyProtection="1">
      <alignment vertical="center"/>
      <protection hidden="1"/>
    </xf>
    <xf numFmtId="0" fontId="52" fillId="0" borderId="32" xfId="15" applyFont="1" applyFill="1" applyBorder="1" applyAlignment="1" applyProtection="1">
      <alignment horizontal="left" vertical="center" wrapText="1"/>
    </xf>
    <xf numFmtId="165" fontId="53" fillId="0" borderId="32" xfId="1" applyNumberFormat="1" applyFont="1" applyFill="1" applyBorder="1" applyAlignment="1" applyProtection="1">
      <alignment horizontal="left" vertical="center" wrapText="1"/>
    </xf>
    <xf numFmtId="0" fontId="53" fillId="0" borderId="32" xfId="0" applyFont="1" applyFill="1" applyBorder="1" applyAlignment="1" applyProtection="1">
      <alignment horizontal="center" vertical="center" wrapText="1"/>
    </xf>
    <xf numFmtId="0" fontId="52" fillId="0" borderId="26" xfId="0" applyFont="1" applyFill="1" applyBorder="1" applyAlignment="1" applyProtection="1">
      <alignment horizontal="center" vertical="center"/>
    </xf>
    <xf numFmtId="165" fontId="52" fillId="0" borderId="26" xfId="1" applyNumberFormat="1" applyFont="1" applyFill="1" applyBorder="1" applyAlignment="1" applyProtection="1">
      <alignment horizontal="center" vertical="center"/>
    </xf>
    <xf numFmtId="165" fontId="52" fillId="0" borderId="26" xfId="1" applyNumberFormat="1" applyFont="1" applyFill="1" applyBorder="1" applyAlignment="1" applyProtection="1">
      <alignment vertical="center"/>
    </xf>
    <xf numFmtId="165" fontId="41" fillId="0" borderId="26" xfId="1" applyNumberFormat="1" applyFont="1" applyFill="1" applyBorder="1" applyAlignment="1" applyProtection="1">
      <alignment vertical="center"/>
    </xf>
    <xf numFmtId="166" fontId="52" fillId="0" borderId="26" xfId="1" applyNumberFormat="1" applyFont="1" applyFill="1" applyBorder="1" applyAlignment="1" applyProtection="1">
      <alignment vertical="center"/>
    </xf>
    <xf numFmtId="165" fontId="52" fillId="0" borderId="28" xfId="1" applyNumberFormat="1" applyFont="1" applyFill="1" applyBorder="1" applyAlignment="1" applyProtection="1">
      <alignment vertical="center"/>
    </xf>
    <xf numFmtId="165" fontId="52" fillId="0" borderId="32" xfId="1" applyNumberFormat="1" applyFont="1" applyFill="1" applyBorder="1" applyAlignment="1" applyProtection="1">
      <alignment vertical="center"/>
    </xf>
    <xf numFmtId="165" fontId="52" fillId="0" borderId="26" xfId="1" applyNumberFormat="1" applyFont="1" applyFill="1" applyBorder="1" applyAlignment="1" applyProtection="1">
      <alignment vertical="center"/>
      <protection hidden="1"/>
    </xf>
    <xf numFmtId="165" fontId="41" fillId="0" borderId="26" xfId="1" applyNumberFormat="1" applyFont="1" applyFill="1" applyBorder="1" applyAlignment="1" applyProtection="1">
      <alignment vertical="center"/>
      <protection hidden="1"/>
    </xf>
    <xf numFmtId="165" fontId="53" fillId="0" borderId="32" xfId="1" applyNumberFormat="1" applyFont="1" applyFill="1" applyBorder="1" applyAlignment="1" applyProtection="1">
      <alignment horizontal="left" vertical="center"/>
    </xf>
    <xf numFmtId="165" fontId="53" fillId="0" borderId="32" xfId="1" applyNumberFormat="1" applyFont="1" applyFill="1" applyBorder="1" applyAlignment="1" applyProtection="1">
      <alignment horizontal="center" vertical="center"/>
    </xf>
    <xf numFmtId="0" fontId="41" fillId="10" borderId="32" xfId="0" applyFont="1" applyFill="1" applyBorder="1" applyAlignment="1" applyProtection="1">
      <alignment horizontal="left" vertical="center"/>
    </xf>
    <xf numFmtId="0" fontId="41" fillId="10" borderId="32" xfId="0" applyFont="1" applyFill="1" applyBorder="1" applyAlignment="1" applyProtection="1">
      <alignment horizontal="center" vertical="center"/>
    </xf>
    <xf numFmtId="0" fontId="57" fillId="0" borderId="32" xfId="0" applyFont="1" applyFill="1" applyBorder="1" applyProtection="1"/>
    <xf numFmtId="165" fontId="57" fillId="0" borderId="32" xfId="1" applyNumberFormat="1" applyFont="1" applyFill="1" applyBorder="1" applyAlignment="1" applyProtection="1">
      <alignment horizontal="center" vertical="center"/>
    </xf>
    <xf numFmtId="165" fontId="52" fillId="0" borderId="32" xfId="1" applyNumberFormat="1" applyFont="1" applyFill="1" applyBorder="1" applyAlignment="1" applyProtection="1">
      <alignment horizontal="center" vertical="center"/>
    </xf>
    <xf numFmtId="165" fontId="14" fillId="0" borderId="32" xfId="1" applyNumberFormat="1" applyFont="1" applyFill="1" applyBorder="1" applyAlignment="1" applyProtection="1">
      <alignment vertical="center"/>
    </xf>
    <xf numFmtId="165" fontId="58" fillId="0" borderId="32" xfId="1" applyNumberFormat="1" applyFont="1" applyFill="1" applyBorder="1" applyAlignment="1" applyProtection="1">
      <alignment horizontal="center" vertical="center"/>
    </xf>
    <xf numFmtId="0" fontId="41" fillId="10" borderId="32" xfId="0" applyFont="1" applyFill="1" applyBorder="1" applyAlignment="1" applyProtection="1">
      <alignment horizontal="left" vertical="center" wrapText="1"/>
    </xf>
    <xf numFmtId="165" fontId="52" fillId="0" borderId="31" xfId="1" applyNumberFormat="1" applyFont="1" applyFill="1" applyBorder="1" applyAlignment="1" applyProtection="1">
      <alignment horizontal="left" vertical="center"/>
    </xf>
    <xf numFmtId="165" fontId="52" fillId="0" borderId="31" xfId="1" applyNumberFormat="1" applyFont="1" applyFill="1" applyBorder="1" applyAlignment="1" applyProtection="1">
      <alignment horizontal="center" vertical="center"/>
    </xf>
    <xf numFmtId="0" fontId="41" fillId="10" borderId="2" xfId="0" applyFont="1" applyFill="1" applyBorder="1" applyAlignment="1" applyProtection="1">
      <alignment horizontal="left" vertical="center"/>
    </xf>
    <xf numFmtId="0" fontId="41" fillId="10" borderId="2" xfId="0" applyFont="1" applyFill="1" applyBorder="1" applyAlignment="1" applyProtection="1">
      <alignment horizontal="center" vertical="center"/>
    </xf>
    <xf numFmtId="0" fontId="52" fillId="10" borderId="32" xfId="0" applyFont="1" applyFill="1" applyBorder="1" applyAlignment="1" applyProtection="1">
      <alignment horizontal="left" vertical="center"/>
    </xf>
    <xf numFmtId="165" fontId="41" fillId="26" borderId="32" xfId="1" applyNumberFormat="1" applyFont="1" applyFill="1" applyBorder="1" applyAlignment="1" applyProtection="1">
      <alignment horizontal="left" vertical="center"/>
    </xf>
    <xf numFmtId="165" fontId="41" fillId="26" borderId="32" xfId="1" applyNumberFormat="1" applyFont="1" applyFill="1" applyBorder="1" applyAlignment="1" applyProtection="1">
      <alignment vertical="center"/>
    </xf>
    <xf numFmtId="14" fontId="52" fillId="26" borderId="32" xfId="0" applyNumberFormat="1" applyFont="1" applyFill="1" applyBorder="1" applyAlignment="1" applyProtection="1">
      <alignment horizontal="center" vertical="center" wrapText="1"/>
    </xf>
    <xf numFmtId="165" fontId="52" fillId="0" borderId="32" xfId="1" applyNumberFormat="1" applyFont="1" applyFill="1" applyBorder="1" applyAlignment="1" applyProtection="1">
      <alignment vertical="center" wrapText="1"/>
    </xf>
    <xf numFmtId="165" fontId="52" fillId="12" borderId="32" xfId="1" applyNumberFormat="1" applyFont="1" applyFill="1" applyBorder="1" applyAlignment="1" applyProtection="1">
      <alignment vertical="center" wrapText="1"/>
    </xf>
    <xf numFmtId="0" fontId="52" fillId="12" borderId="32" xfId="15" applyFont="1" applyFill="1" applyBorder="1" applyAlignment="1" applyProtection="1">
      <alignment horizontal="left" vertical="center" wrapText="1"/>
    </xf>
    <xf numFmtId="0" fontId="52" fillId="10" borderId="1" xfId="7" applyFont="1" applyFill="1" applyBorder="1" applyAlignment="1" applyProtection="1">
      <alignment horizontal="left" vertical="center"/>
    </xf>
    <xf numFmtId="0" fontId="52" fillId="0" borderId="1" xfId="7" applyFont="1" applyFill="1" applyBorder="1" applyAlignment="1" applyProtection="1">
      <alignment horizontal="left" vertical="center"/>
    </xf>
    <xf numFmtId="0" fontId="52" fillId="12" borderId="1" xfId="7" applyFont="1" applyFill="1" applyBorder="1" applyAlignment="1" applyProtection="1">
      <alignment horizontal="left" vertical="center"/>
    </xf>
    <xf numFmtId="0" fontId="52" fillId="0" borderId="0" xfId="15" applyFont="1" applyFill="1" applyBorder="1" applyAlignment="1" applyProtection="1">
      <alignment horizontal="left" vertical="center" wrapText="1"/>
    </xf>
    <xf numFmtId="165" fontId="52" fillId="0" borderId="0" xfId="1" applyNumberFormat="1" applyFont="1" applyFill="1" applyBorder="1" applyAlignment="1" applyProtection="1">
      <alignment horizontal="left" vertical="center"/>
    </xf>
    <xf numFmtId="165" fontId="52" fillId="0" borderId="0" xfId="1" applyNumberFormat="1" applyFont="1" applyFill="1" applyBorder="1" applyAlignment="1" applyProtection="1">
      <alignment horizontal="center" vertical="center"/>
    </xf>
    <xf numFmtId="165" fontId="52" fillId="0" borderId="0" xfId="1" applyNumberFormat="1" applyFont="1" applyFill="1" applyBorder="1" applyAlignment="1" applyProtection="1">
      <alignment vertical="center"/>
    </xf>
    <xf numFmtId="165" fontId="41" fillId="0" borderId="0" xfId="1" applyNumberFormat="1" applyFont="1" applyFill="1" applyBorder="1" applyAlignment="1" applyProtection="1">
      <alignment vertical="center"/>
    </xf>
    <xf numFmtId="166" fontId="52" fillId="0" borderId="0" xfId="1" applyNumberFormat="1" applyFont="1" applyFill="1" applyBorder="1" applyAlignment="1" applyProtection="1">
      <alignment vertical="center"/>
    </xf>
    <xf numFmtId="165" fontId="41" fillId="0" borderId="0" xfId="1" applyNumberFormat="1" applyFont="1" applyFill="1" applyBorder="1" applyAlignment="1" applyProtection="1">
      <alignment vertical="center"/>
      <protection hidden="1"/>
    </xf>
    <xf numFmtId="165" fontId="52" fillId="0" borderId="0" xfId="1" applyNumberFormat="1" applyFont="1" applyFill="1" applyBorder="1" applyAlignment="1" applyProtection="1">
      <alignment vertical="center"/>
      <protection hidden="1"/>
    </xf>
    <xf numFmtId="14" fontId="52" fillId="0" borderId="0" xfId="1" applyNumberFormat="1" applyFont="1" applyFill="1" applyProtection="1"/>
    <xf numFmtId="165" fontId="57" fillId="0" borderId="26" xfId="1" applyNumberFormat="1" applyFont="1" applyFill="1" applyBorder="1" applyAlignment="1" applyProtection="1">
      <alignment vertical="center"/>
      <protection hidden="1"/>
    </xf>
    <xf numFmtId="0" fontId="60" fillId="0" borderId="32" xfId="0" applyFont="1" applyBorder="1" applyAlignment="1">
      <alignment horizontal="center"/>
    </xf>
    <xf numFmtId="0" fontId="60" fillId="0" borderId="32" xfId="0" applyFont="1" applyBorder="1" applyAlignment="1">
      <alignment horizontal="right"/>
    </xf>
    <xf numFmtId="171" fontId="60" fillId="0" borderId="32" xfId="1" applyNumberFormat="1" applyFont="1" applyBorder="1" applyAlignment="1"/>
    <xf numFmtId="171" fontId="60" fillId="15" borderId="33" xfId="1" applyNumberFormat="1" applyFont="1" applyFill="1" applyBorder="1" applyAlignment="1"/>
    <xf numFmtId="164" fontId="60" fillId="0" borderId="32" xfId="1" applyNumberFormat="1" applyFont="1" applyFill="1" applyBorder="1" applyAlignment="1"/>
    <xf numFmtId="171" fontId="60" fillId="0" borderId="33" xfId="1" applyNumberFormat="1" applyFont="1" applyBorder="1"/>
    <xf numFmtId="0" fontId="60" fillId="0" borderId="0" xfId="0" applyFont="1"/>
    <xf numFmtId="165" fontId="52" fillId="7" borderId="32" xfId="1" applyNumberFormat="1" applyFont="1" applyFill="1" applyBorder="1" applyAlignment="1" applyProtection="1">
      <alignment horizontal="left" vertical="center"/>
    </xf>
    <xf numFmtId="165" fontId="52" fillId="0" borderId="32" xfId="1" applyNumberFormat="1" applyFont="1" applyFill="1" applyBorder="1" applyAlignment="1" applyProtection="1">
      <alignment horizontal="left" vertical="center" wrapText="1"/>
    </xf>
    <xf numFmtId="0" fontId="52" fillId="10" borderId="32" xfId="15" applyFont="1" applyFill="1" applyBorder="1" applyAlignment="1" applyProtection="1">
      <alignment horizontal="left" vertical="center" wrapText="1"/>
    </xf>
    <xf numFmtId="165" fontId="16" fillId="0" borderId="2" xfId="1" applyNumberFormat="1" applyFont="1" applyBorder="1" applyAlignment="1">
      <alignment horizontal="center" vertical="center"/>
    </xf>
    <xf numFmtId="165" fontId="0" fillId="0" borderId="0" xfId="0" applyNumberFormat="1"/>
    <xf numFmtId="165" fontId="52" fillId="6" borderId="32" xfId="1" applyNumberFormat="1" applyFont="1" applyFill="1" applyBorder="1" applyAlignment="1" applyProtection="1">
      <alignment vertical="center"/>
    </xf>
    <xf numFmtId="165" fontId="52" fillId="7" borderId="32" xfId="1" applyNumberFormat="1" applyFont="1" applyFill="1" applyBorder="1" applyAlignment="1" applyProtection="1">
      <alignment vertical="center"/>
    </xf>
    <xf numFmtId="165" fontId="52" fillId="0" borderId="32" xfId="1" applyNumberFormat="1" applyFont="1" applyFill="1" applyBorder="1" applyAlignment="1">
      <alignment horizontal="center"/>
    </xf>
    <xf numFmtId="165" fontId="41" fillId="0" borderId="32" xfId="1" applyNumberFormat="1" applyFont="1" applyFill="1" applyBorder="1" applyAlignment="1" applyProtection="1">
      <alignment vertical="center"/>
    </xf>
    <xf numFmtId="165" fontId="52" fillId="0" borderId="28" xfId="1" applyNumberFormat="1" applyFont="1" applyBorder="1" applyAlignment="1">
      <alignment horizontal="center"/>
    </xf>
    <xf numFmtId="0" fontId="52" fillId="7" borderId="32" xfId="15" applyFont="1" applyFill="1" applyBorder="1" applyAlignment="1" applyProtection="1">
      <alignment horizontal="left" vertical="center" wrapText="1"/>
    </xf>
    <xf numFmtId="165" fontId="52" fillId="7" borderId="32" xfId="1" applyNumberFormat="1" applyFont="1" applyFill="1" applyBorder="1" applyAlignment="1" applyProtection="1">
      <alignment horizontal="center" vertical="center"/>
    </xf>
    <xf numFmtId="0" fontId="52" fillId="7" borderId="32" xfId="0" applyFont="1" applyFill="1" applyBorder="1" applyAlignment="1" applyProtection="1">
      <alignment horizontal="center" vertical="center"/>
    </xf>
    <xf numFmtId="165" fontId="41" fillId="7" borderId="32" xfId="1" applyNumberFormat="1" applyFont="1" applyFill="1" applyBorder="1" applyAlignment="1" applyProtection="1">
      <alignment vertical="center"/>
    </xf>
    <xf numFmtId="166" fontId="52" fillId="7" borderId="32" xfId="1" applyNumberFormat="1" applyFont="1" applyFill="1" applyBorder="1" applyAlignment="1" applyProtection="1">
      <alignment vertical="center"/>
    </xf>
    <xf numFmtId="165" fontId="52" fillId="7" borderId="32" xfId="1" applyNumberFormat="1" applyFont="1" applyFill="1" applyBorder="1" applyAlignment="1" applyProtection="1">
      <alignment vertical="center"/>
      <protection hidden="1"/>
    </xf>
    <xf numFmtId="165" fontId="41" fillId="7" borderId="32" xfId="1" applyNumberFormat="1" applyFont="1" applyFill="1" applyBorder="1" applyAlignment="1" applyProtection="1">
      <alignment vertical="center"/>
      <protection hidden="1"/>
    </xf>
    <xf numFmtId="165" fontId="16" fillId="0" borderId="32" xfId="1" applyNumberFormat="1" applyFont="1" applyBorder="1" applyAlignment="1">
      <alignment horizontal="center" vertical="center"/>
    </xf>
    <xf numFmtId="0" fontId="0" fillId="0" borderId="32" xfId="0" applyBorder="1"/>
    <xf numFmtId="0" fontId="26" fillId="5" borderId="32" xfId="0" applyFont="1" applyFill="1" applyBorder="1"/>
    <xf numFmtId="165" fontId="0" fillId="0" borderId="32" xfId="1" applyNumberFormat="1" applyFont="1" applyBorder="1"/>
    <xf numFmtId="165" fontId="0" fillId="0" borderId="32" xfId="0" applyNumberFormat="1" applyBorder="1"/>
    <xf numFmtId="165" fontId="26" fillId="0" borderId="32" xfId="1" applyNumberFormat="1" applyFont="1" applyBorder="1"/>
    <xf numFmtId="165" fontId="26" fillId="0" borderId="32" xfId="0" applyNumberFormat="1" applyFont="1" applyBorder="1"/>
    <xf numFmtId="0" fontId="0" fillId="6" borderId="32" xfId="0" applyFill="1" applyBorder="1"/>
    <xf numFmtId="0" fontId="26" fillId="6" borderId="32" xfId="0" applyFont="1" applyFill="1" applyBorder="1"/>
    <xf numFmtId="165" fontId="0" fillId="6" borderId="32" xfId="1" applyNumberFormat="1" applyFont="1" applyFill="1" applyBorder="1"/>
    <xf numFmtId="165" fontId="0" fillId="6" borderId="32" xfId="0" applyNumberFormat="1" applyFill="1" applyBorder="1"/>
    <xf numFmtId="0" fontId="0" fillId="0" borderId="32" xfId="0" applyFont="1" applyBorder="1"/>
    <xf numFmtId="0" fontId="0" fillId="5" borderId="32" xfId="0" applyFont="1" applyFill="1" applyBorder="1"/>
    <xf numFmtId="165" fontId="0" fillId="0" borderId="32" xfId="0" applyNumberFormat="1" applyFont="1" applyBorder="1"/>
    <xf numFmtId="165" fontId="16" fillId="4" borderId="32" xfId="1" applyNumberFormat="1" applyFont="1" applyFill="1" applyBorder="1" applyAlignment="1">
      <alignment horizontal="center" vertical="center"/>
    </xf>
    <xf numFmtId="165" fontId="16" fillId="0" borderId="32" xfId="1" applyNumberFormat="1" applyFont="1" applyFill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165" fontId="28" fillId="0" borderId="32" xfId="1" applyNumberFormat="1" applyFont="1" applyBorder="1" applyAlignment="1">
      <alignment horizontal="center" vertical="center"/>
    </xf>
    <xf numFmtId="165" fontId="28" fillId="0" borderId="32" xfId="1" applyNumberFormat="1" applyFont="1" applyFill="1" applyBorder="1" applyAlignment="1">
      <alignment horizontal="center" vertical="center"/>
    </xf>
    <xf numFmtId="165" fontId="26" fillId="5" borderId="32" xfId="13" applyNumberFormat="1" applyFont="1" applyFill="1" applyBorder="1"/>
    <xf numFmtId="43" fontId="0" fillId="0" borderId="32" xfId="0" applyNumberFormat="1" applyBorder="1"/>
    <xf numFmtId="165" fontId="0" fillId="0" borderId="32" xfId="1" applyNumberFormat="1" applyFont="1" applyBorder="1" applyAlignment="1">
      <alignment vertical="center"/>
    </xf>
    <xf numFmtId="165" fontId="26" fillId="5" borderId="31" xfId="1" applyNumberFormat="1" applyFont="1" applyFill="1" applyBorder="1"/>
    <xf numFmtId="165" fontId="0" fillId="6" borderId="31" xfId="1" applyNumberFormat="1" applyFont="1" applyFill="1" applyBorder="1"/>
    <xf numFmtId="165" fontId="0" fillId="6" borderId="31" xfId="0" applyNumberFormat="1" applyFill="1" applyBorder="1"/>
    <xf numFmtId="165" fontId="0" fillId="0" borderId="31" xfId="1" applyNumberFormat="1" applyFont="1" applyBorder="1"/>
    <xf numFmtId="43" fontId="0" fillId="0" borderId="31" xfId="0" applyNumberFormat="1" applyBorder="1"/>
    <xf numFmtId="0" fontId="0" fillId="0" borderId="33" xfId="0" applyBorder="1"/>
    <xf numFmtId="0" fontId="0" fillId="0" borderId="29" xfId="0" applyBorder="1"/>
    <xf numFmtId="165" fontId="0" fillId="0" borderId="29" xfId="1" applyNumberFormat="1" applyFont="1" applyBorder="1"/>
    <xf numFmtId="165" fontId="0" fillId="0" borderId="29" xfId="0" applyNumberFormat="1" applyBorder="1"/>
    <xf numFmtId="43" fontId="0" fillId="0" borderId="29" xfId="1" applyNumberFormat="1" applyFont="1" applyBorder="1"/>
    <xf numFmtId="43" fontId="0" fillId="0" borderId="29" xfId="0" applyNumberFormat="1" applyBorder="1"/>
    <xf numFmtId="165" fontId="51" fillId="0" borderId="29" xfId="1" applyNumberFormat="1" applyFont="1" applyBorder="1"/>
    <xf numFmtId="165" fontId="26" fillId="5" borderId="32" xfId="1" applyNumberFormat="1" applyFont="1" applyFill="1" applyBorder="1"/>
    <xf numFmtId="165" fontId="0" fillId="4" borderId="32" xfId="0" applyNumberFormat="1" applyFill="1" applyBorder="1"/>
    <xf numFmtId="165" fontId="13" fillId="4" borderId="32" xfId="1" applyNumberFormat="1" applyFont="1" applyFill="1" applyBorder="1"/>
    <xf numFmtId="165" fontId="16" fillId="0" borderId="32" xfId="1" applyNumberFormat="1" applyFont="1" applyBorder="1" applyAlignment="1">
      <alignment vertical="center"/>
    </xf>
    <xf numFmtId="0" fontId="16" fillId="0" borderId="32" xfId="0" applyFont="1" applyBorder="1" applyAlignment="1">
      <alignment vertical="center"/>
    </xf>
    <xf numFmtId="169" fontId="16" fillId="0" borderId="32" xfId="0" applyNumberFormat="1" applyFont="1" applyBorder="1" applyAlignment="1">
      <alignment vertical="center"/>
    </xf>
    <xf numFmtId="10" fontId="16" fillId="0" borderId="32" xfId="0" applyNumberFormat="1" applyFont="1" applyBorder="1" applyAlignment="1">
      <alignment vertical="center"/>
    </xf>
    <xf numFmtId="166" fontId="16" fillId="0" borderId="32" xfId="1" applyNumberFormat="1" applyFont="1" applyBorder="1"/>
    <xf numFmtId="0" fontId="0" fillId="10" borderId="32" xfId="0" applyFill="1" applyBorder="1"/>
    <xf numFmtId="165" fontId="13" fillId="10" borderId="32" xfId="1" applyNumberFormat="1" applyFont="1" applyFill="1" applyBorder="1"/>
    <xf numFmtId="165" fontId="0" fillId="19" borderId="32" xfId="1" applyNumberFormat="1" applyFont="1" applyFill="1" applyBorder="1"/>
    <xf numFmtId="165" fontId="13" fillId="6" borderId="32" xfId="1" applyNumberFormat="1" applyFont="1" applyFill="1" applyBorder="1"/>
    <xf numFmtId="0" fontId="0" fillId="16" borderId="32" xfId="0" applyFill="1" applyBorder="1"/>
    <xf numFmtId="165" fontId="13" fillId="16" borderId="32" xfId="1" applyNumberFormat="1" applyFont="1" applyFill="1" applyBorder="1"/>
    <xf numFmtId="165" fontId="0" fillId="12" borderId="32" xfId="1" applyNumberFormat="1" applyFont="1" applyFill="1" applyBorder="1"/>
    <xf numFmtId="165" fontId="0" fillId="16" borderId="32" xfId="1" applyNumberFormat="1" applyFont="1" applyFill="1" applyBorder="1"/>
    <xf numFmtId="165" fontId="0" fillId="0" borderId="32" xfId="1" applyNumberFormat="1" applyFont="1" applyFill="1" applyBorder="1"/>
    <xf numFmtId="165" fontId="41" fillId="10" borderId="32" xfId="15" applyNumberFormat="1" applyFont="1" applyFill="1" applyBorder="1" applyProtection="1"/>
    <xf numFmtId="165" fontId="52" fillId="12" borderId="32" xfId="1" applyNumberFormat="1" applyFont="1" applyFill="1" applyBorder="1" applyAlignment="1" applyProtection="1">
      <alignment vertical="center"/>
    </xf>
    <xf numFmtId="165" fontId="41" fillId="12" borderId="32" xfId="1" applyNumberFormat="1" applyFont="1" applyFill="1" applyBorder="1" applyAlignment="1" applyProtection="1">
      <alignment vertical="center"/>
    </xf>
    <xf numFmtId="165" fontId="52" fillId="0" borderId="32" xfId="1" applyNumberFormat="1" applyFont="1" applyFill="1" applyBorder="1" applyAlignment="1" applyProtection="1">
      <alignment vertical="center"/>
      <protection hidden="1"/>
    </xf>
    <xf numFmtId="165" fontId="63" fillId="0" borderId="26" xfId="1" applyNumberFormat="1" applyFont="1" applyFill="1" applyBorder="1" applyAlignment="1" applyProtection="1">
      <alignment vertical="center"/>
    </xf>
    <xf numFmtId="165" fontId="64" fillId="0" borderId="26" xfId="1" applyNumberFormat="1" applyFont="1" applyFill="1" applyBorder="1" applyAlignment="1" applyProtection="1">
      <alignment vertical="center"/>
    </xf>
    <xf numFmtId="166" fontId="63" fillId="0" borderId="26" xfId="1" applyNumberFormat="1" applyFont="1" applyFill="1" applyBorder="1" applyAlignment="1" applyProtection="1">
      <alignment vertical="center"/>
    </xf>
    <xf numFmtId="0" fontId="52" fillId="0" borderId="32" xfId="15" applyFont="1" applyFill="1" applyBorder="1" applyAlignment="1" applyProtection="1">
      <alignment vertical="center" wrapText="1"/>
    </xf>
    <xf numFmtId="165" fontId="16" fillId="0" borderId="2" xfId="1" applyNumberFormat="1" applyFont="1" applyBorder="1" applyAlignment="1">
      <alignment horizontal="center" vertical="center"/>
    </xf>
    <xf numFmtId="165" fontId="52" fillId="0" borderId="0" xfId="0" applyNumberFormat="1" applyFont="1" applyFill="1" applyProtection="1"/>
    <xf numFmtId="0" fontId="57" fillId="0" borderId="32" xfId="15" applyFont="1" applyFill="1" applyBorder="1" applyAlignment="1" applyProtection="1">
      <alignment horizontal="left" vertical="center" wrapText="1"/>
    </xf>
    <xf numFmtId="0" fontId="57" fillId="0" borderId="26" xfId="0" applyFont="1" applyFill="1" applyBorder="1" applyAlignment="1" applyProtection="1">
      <alignment horizontal="center" vertical="center"/>
    </xf>
    <xf numFmtId="165" fontId="57" fillId="0" borderId="26" xfId="1" applyNumberFormat="1" applyFont="1" applyFill="1" applyBorder="1" applyAlignment="1" applyProtection="1">
      <alignment horizontal="center" vertical="center"/>
    </xf>
    <xf numFmtId="165" fontId="57" fillId="0" borderId="26" xfId="1" applyNumberFormat="1" applyFont="1" applyFill="1" applyBorder="1" applyAlignment="1" applyProtection="1">
      <alignment vertical="center"/>
    </xf>
    <xf numFmtId="166" fontId="57" fillId="0" borderId="26" xfId="1" applyNumberFormat="1" applyFont="1" applyFill="1" applyBorder="1" applyAlignment="1" applyProtection="1">
      <alignment vertical="center"/>
    </xf>
    <xf numFmtId="165" fontId="57" fillId="0" borderId="28" xfId="1" applyNumberFormat="1" applyFont="1" applyFill="1" applyBorder="1" applyAlignment="1" applyProtection="1">
      <alignment vertical="center"/>
    </xf>
    <xf numFmtId="165" fontId="57" fillId="0" borderId="32" xfId="1" applyNumberFormat="1" applyFont="1" applyFill="1" applyBorder="1" applyAlignment="1" applyProtection="1">
      <alignment vertical="center"/>
    </xf>
    <xf numFmtId="165" fontId="53" fillId="0" borderId="26" xfId="1" applyNumberFormat="1" applyFont="1" applyFill="1" applyBorder="1" applyAlignment="1" applyProtection="1">
      <alignment vertical="center"/>
      <protection hidden="1"/>
    </xf>
    <xf numFmtId="0" fontId="62" fillId="0" borderId="0" xfId="0" applyFont="1" applyFill="1" applyProtection="1"/>
    <xf numFmtId="165" fontId="62" fillId="0" borderId="0" xfId="1" applyNumberFormat="1" applyFont="1" applyFill="1" applyProtection="1"/>
    <xf numFmtId="14" fontId="62" fillId="0" borderId="0" xfId="1" applyNumberFormat="1" applyFont="1" applyFill="1" applyProtection="1"/>
    <xf numFmtId="165" fontId="66" fillId="0" borderId="32" xfId="1" applyNumberFormat="1" applyFont="1" applyFill="1" applyBorder="1" applyAlignment="1" applyProtection="1">
      <alignment vertical="center"/>
    </xf>
    <xf numFmtId="165" fontId="66" fillId="7" borderId="32" xfId="1" applyNumberFormat="1" applyFont="1" applyFill="1" applyBorder="1" applyAlignment="1" applyProtection="1">
      <alignment vertical="center"/>
    </xf>
    <xf numFmtId="14" fontId="18" fillId="0" borderId="3" xfId="7" applyNumberFormat="1" applyFont="1" applyFill="1" applyBorder="1" applyProtection="1"/>
    <xf numFmtId="165" fontId="64" fillId="0" borderId="32" xfId="1" applyNumberFormat="1" applyFont="1" applyFill="1" applyBorder="1" applyAlignment="1" applyProtection="1">
      <alignment vertical="center"/>
    </xf>
    <xf numFmtId="0" fontId="52" fillId="0" borderId="32" xfId="0" applyFont="1" applyFill="1" applyBorder="1" applyAlignment="1">
      <alignment vertical="center"/>
    </xf>
    <xf numFmtId="165" fontId="52" fillId="0" borderId="0" xfId="1" applyNumberFormat="1" applyFont="1" applyBorder="1" applyAlignment="1">
      <alignment horizontal="center"/>
    </xf>
    <xf numFmtId="0" fontId="52" fillId="0" borderId="0" xfId="0" applyFont="1" applyFill="1" applyBorder="1" applyAlignment="1" applyProtection="1">
      <alignment horizontal="center" vertical="center"/>
    </xf>
    <xf numFmtId="165" fontId="14" fillId="0" borderId="0" xfId="1" applyNumberFormat="1" applyFont="1" applyFill="1" applyBorder="1" applyAlignment="1" applyProtection="1">
      <alignment vertical="center"/>
    </xf>
    <xf numFmtId="165" fontId="53" fillId="0" borderId="26" xfId="1" applyNumberFormat="1" applyFont="1" applyFill="1" applyBorder="1" applyAlignment="1" applyProtection="1">
      <alignment vertical="center"/>
    </xf>
    <xf numFmtId="165" fontId="14" fillId="12" borderId="32" xfId="1" applyNumberFormat="1" applyFont="1" applyFill="1" applyBorder="1" applyAlignment="1" applyProtection="1">
      <alignment vertical="center"/>
    </xf>
    <xf numFmtId="171" fontId="47" fillId="0" borderId="32" xfId="42" applyNumberFormat="1" applyFont="1" applyBorder="1" applyAlignment="1"/>
    <xf numFmtId="171" fontId="47" fillId="0" borderId="32" xfId="42" applyNumberFormat="1" applyFont="1" applyBorder="1"/>
    <xf numFmtId="171" fontId="46" fillId="0" borderId="32" xfId="42" applyNumberFormat="1" applyFont="1" applyBorder="1" applyAlignment="1"/>
    <xf numFmtId="164" fontId="46" fillId="0" borderId="32" xfId="42" applyNumberFormat="1" applyFont="1" applyFill="1" applyBorder="1" applyAlignment="1"/>
    <xf numFmtId="171" fontId="46" fillId="15" borderId="33" xfId="42" applyNumberFormat="1" applyFont="1" applyFill="1" applyBorder="1" applyAlignment="1"/>
    <xf numFmtId="171" fontId="50" fillId="0" borderId="32" xfId="42" applyNumberFormat="1" applyFont="1" applyFill="1" applyBorder="1" applyAlignment="1"/>
    <xf numFmtId="0" fontId="84" fillId="7" borderId="32" xfId="0" applyFont="1" applyFill="1" applyBorder="1"/>
    <xf numFmtId="164" fontId="46" fillId="7" borderId="32" xfId="42" applyNumberFormat="1" applyFont="1" applyFill="1" applyBorder="1" applyAlignment="1"/>
    <xf numFmtId="171" fontId="47" fillId="7" borderId="33" xfId="42" applyNumberFormat="1" applyFont="1" applyFill="1" applyBorder="1" applyAlignment="1"/>
    <xf numFmtId="0" fontId="50" fillId="7" borderId="32" xfId="0" applyFont="1" applyFill="1" applyBorder="1" applyAlignment="1">
      <alignment horizontal="right"/>
    </xf>
    <xf numFmtId="171" fontId="46" fillId="6" borderId="32" xfId="1" applyNumberFormat="1" applyFont="1" applyFill="1" applyBorder="1" applyAlignment="1"/>
    <xf numFmtId="165" fontId="52" fillId="59" borderId="26" xfId="1" applyNumberFormat="1" applyFont="1" applyFill="1" applyBorder="1" applyAlignment="1" applyProtection="1">
      <alignment vertical="center"/>
    </xf>
    <xf numFmtId="165" fontId="52" fillId="59" borderId="32" xfId="1" applyNumberFormat="1" applyFont="1" applyFill="1" applyBorder="1" applyAlignment="1" applyProtection="1">
      <alignment vertical="center"/>
    </xf>
    <xf numFmtId="171" fontId="47" fillId="7" borderId="32" xfId="42" applyNumberFormat="1" applyFont="1" applyFill="1" applyBorder="1" applyAlignment="1"/>
    <xf numFmtId="171" fontId="50" fillId="7" borderId="32" xfId="42" applyNumberFormat="1" applyFont="1" applyFill="1" applyBorder="1" applyAlignment="1"/>
    <xf numFmtId="171" fontId="50" fillId="60" borderId="32" xfId="42" applyNumberFormat="1" applyFont="1" applyFill="1" applyBorder="1" applyAlignment="1"/>
    <xf numFmtId="0" fontId="84" fillId="7" borderId="32" xfId="0" applyFont="1" applyFill="1" applyBorder="1" applyAlignment="1">
      <alignment horizontal="left"/>
    </xf>
    <xf numFmtId="171" fontId="50" fillId="18" borderId="32" xfId="42" applyNumberFormat="1" applyFont="1" applyFill="1" applyBorder="1" applyAlignment="1"/>
    <xf numFmtId="165" fontId="63" fillId="59" borderId="26" xfId="1" applyNumberFormat="1" applyFont="1" applyFill="1" applyBorder="1" applyAlignment="1" applyProtection="1">
      <alignment vertical="center"/>
    </xf>
    <xf numFmtId="165" fontId="63" fillId="59" borderId="32" xfId="1" applyNumberFormat="1" applyFont="1" applyFill="1" applyBorder="1" applyAlignment="1" applyProtection="1">
      <alignment vertical="center"/>
    </xf>
    <xf numFmtId="166" fontId="52" fillId="27" borderId="32" xfId="1" applyNumberFormat="1" applyFont="1" applyFill="1" applyBorder="1" applyAlignment="1" applyProtection="1">
      <alignment vertical="center"/>
    </xf>
    <xf numFmtId="165" fontId="52" fillId="12" borderId="32" xfId="1" applyNumberFormat="1" applyFont="1" applyFill="1" applyBorder="1" applyAlignment="1" applyProtection="1">
      <alignment vertical="center"/>
      <protection hidden="1"/>
    </xf>
    <xf numFmtId="165" fontId="52" fillId="12" borderId="28" xfId="1" applyNumberFormat="1" applyFont="1" applyFill="1" applyBorder="1" applyAlignment="1" applyProtection="1">
      <alignment vertical="center"/>
    </xf>
    <xf numFmtId="165" fontId="52" fillId="12" borderId="26" xfId="1" applyNumberFormat="1" applyFont="1" applyFill="1" applyBorder="1" applyAlignment="1" applyProtection="1">
      <alignment vertical="center"/>
    </xf>
    <xf numFmtId="165" fontId="52" fillId="12" borderId="26" xfId="1" applyNumberFormat="1" applyFont="1" applyFill="1" applyBorder="1" applyAlignment="1" applyProtection="1">
      <alignment vertical="center"/>
      <protection hidden="1"/>
    </xf>
    <xf numFmtId="165" fontId="85" fillId="0" borderId="32" xfId="1" applyNumberFormat="1" applyFont="1" applyFill="1" applyBorder="1" applyAlignment="1" applyProtection="1">
      <alignment vertical="center" wrapText="1"/>
    </xf>
    <xf numFmtId="165" fontId="85" fillId="0" borderId="32" xfId="1" applyNumberFormat="1" applyFont="1" applyFill="1" applyBorder="1" applyAlignment="1">
      <alignment horizontal="center"/>
    </xf>
    <xf numFmtId="165" fontId="41" fillId="12" borderId="26" xfId="1" applyNumberFormat="1" applyFont="1" applyFill="1" applyBorder="1" applyAlignment="1" applyProtection="1">
      <alignment vertical="center"/>
      <protection hidden="1"/>
    </xf>
    <xf numFmtId="165" fontId="52" fillId="12" borderId="32" xfId="1" applyNumberFormat="1" applyFont="1" applyFill="1" applyBorder="1" applyAlignment="1" applyProtection="1">
      <alignment horizontal="center" vertical="center"/>
    </xf>
    <xf numFmtId="165" fontId="52" fillId="12" borderId="28" xfId="1" applyNumberFormat="1" applyFont="1" applyFill="1" applyBorder="1" applyAlignment="1">
      <alignment horizontal="center"/>
    </xf>
    <xf numFmtId="165" fontId="65" fillId="12" borderId="32" xfId="1" applyNumberFormat="1" applyFont="1" applyFill="1" applyBorder="1" applyAlignment="1" applyProtection="1">
      <alignment vertical="center"/>
    </xf>
    <xf numFmtId="165" fontId="59" fillId="12" borderId="32" xfId="1" applyNumberFormat="1" applyFont="1" applyFill="1" applyBorder="1" applyAlignment="1" applyProtection="1">
      <alignment vertical="center"/>
    </xf>
    <xf numFmtId="165" fontId="52" fillId="7" borderId="26" xfId="1" applyNumberFormat="1" applyFont="1" applyFill="1" applyBorder="1" applyAlignment="1" applyProtection="1">
      <alignment vertical="center"/>
      <protection hidden="1"/>
    </xf>
    <xf numFmtId="165" fontId="52" fillId="12" borderId="32" xfId="1" applyNumberFormat="1" applyFont="1" applyFill="1" applyBorder="1" applyAlignment="1" applyProtection="1">
      <alignment horizontal="left" vertical="center"/>
    </xf>
    <xf numFmtId="0" fontId="52" fillId="12" borderId="26" xfId="0" applyFont="1" applyFill="1" applyBorder="1" applyAlignment="1" applyProtection="1">
      <alignment horizontal="center" vertical="center"/>
    </xf>
    <xf numFmtId="168" fontId="41" fillId="0" borderId="0" xfId="1" applyNumberFormat="1" applyFont="1" applyFill="1" applyAlignment="1" applyProtection="1">
      <alignment horizontal="left"/>
    </xf>
    <xf numFmtId="14" fontId="41" fillId="0" borderId="26" xfId="0" applyNumberFormat="1" applyFont="1" applyFill="1" applyBorder="1" applyAlignment="1" applyProtection="1">
      <alignment horizontal="center" vertical="center" wrapText="1"/>
    </xf>
    <xf numFmtId="0" fontId="88" fillId="0" borderId="0" xfId="0" applyFont="1" applyFill="1" applyProtection="1"/>
    <xf numFmtId="14" fontId="88" fillId="0" borderId="0" xfId="0" applyNumberFormat="1" applyFont="1" applyFill="1" applyProtection="1"/>
    <xf numFmtId="165" fontId="88" fillId="0" borderId="0" xfId="1" applyNumberFormat="1" applyFont="1" applyFill="1" applyProtection="1"/>
    <xf numFmtId="166" fontId="88" fillId="0" borderId="0" xfId="1" applyNumberFormat="1" applyFont="1" applyFill="1" applyProtection="1"/>
    <xf numFmtId="165" fontId="89" fillId="0" borderId="0" xfId="1" applyNumberFormat="1" applyFont="1" applyFill="1" applyProtection="1"/>
    <xf numFmtId="0" fontId="89" fillId="0" borderId="0" xfId="0" applyFont="1" applyFill="1" applyProtection="1"/>
    <xf numFmtId="0" fontId="89" fillId="0" borderId="0" xfId="0" applyFont="1" applyFill="1" applyAlignment="1" applyProtection="1">
      <alignment horizontal="center" vertical="center" wrapText="1"/>
    </xf>
    <xf numFmtId="0" fontId="88" fillId="0" borderId="0" xfId="0" applyFont="1" applyFill="1" applyAlignment="1" applyProtection="1">
      <alignment vertical="center"/>
    </xf>
    <xf numFmtId="0" fontId="89" fillId="0" borderId="0" xfId="0" applyFont="1" applyFill="1" applyAlignment="1" applyProtection="1">
      <alignment vertical="center"/>
    </xf>
    <xf numFmtId="0" fontId="88" fillId="12" borderId="0" xfId="0" applyFont="1" applyFill="1" applyAlignment="1" applyProtection="1">
      <alignment vertical="center"/>
    </xf>
    <xf numFmtId="0" fontId="90" fillId="0" borderId="0" xfId="0" applyFont="1" applyFill="1" applyAlignment="1" applyProtection="1">
      <alignment vertical="center"/>
    </xf>
    <xf numFmtId="165" fontId="88" fillId="0" borderId="0" xfId="0" applyNumberFormat="1" applyFont="1" applyFill="1" applyProtection="1"/>
    <xf numFmtId="14" fontId="88" fillId="0" borderId="0" xfId="1" applyNumberFormat="1" applyFont="1" applyFill="1" applyProtection="1"/>
    <xf numFmtId="0" fontId="91" fillId="0" borderId="0" xfId="0" applyFont="1" applyFill="1" applyProtection="1"/>
    <xf numFmtId="0" fontId="52" fillId="0" borderId="32" xfId="0" applyFont="1" applyFill="1" applyBorder="1" applyAlignment="1" applyProtection="1">
      <alignment horizontal="center" vertical="center"/>
    </xf>
    <xf numFmtId="165" fontId="52" fillId="18" borderId="26" xfId="1" applyNumberFormat="1" applyFont="1" applyFill="1" applyBorder="1" applyAlignment="1" applyProtection="1">
      <alignment vertical="center"/>
    </xf>
    <xf numFmtId="0" fontId="92" fillId="0" borderId="0" xfId="0" applyFont="1" applyFill="1" applyProtection="1"/>
    <xf numFmtId="0" fontId="53" fillId="0" borderId="32" xfId="15" applyFont="1" applyFill="1" applyBorder="1" applyAlignment="1" applyProtection="1">
      <alignment vertical="center" wrapText="1"/>
    </xf>
    <xf numFmtId="0" fontId="41" fillId="10" borderId="32" xfId="0" applyFont="1" applyFill="1" applyBorder="1" applyAlignment="1" applyProtection="1">
      <alignment vertical="center"/>
    </xf>
    <xf numFmtId="0" fontId="52" fillId="7" borderId="32" xfId="15" applyFont="1" applyFill="1" applyBorder="1" applyAlignment="1" applyProtection="1">
      <alignment vertical="center" wrapText="1"/>
    </xf>
    <xf numFmtId="0" fontId="41" fillId="10" borderId="32" xfId="0" applyFont="1" applyFill="1" applyBorder="1" applyAlignment="1" applyProtection="1">
      <alignment vertical="center" wrapText="1"/>
    </xf>
    <xf numFmtId="0" fontId="52" fillId="0" borderId="33" xfId="15" applyFont="1" applyFill="1" applyBorder="1" applyAlignment="1" applyProtection="1">
      <alignment vertical="center" wrapText="1"/>
    </xf>
    <xf numFmtId="0" fontId="52" fillId="10" borderId="32" xfId="0" applyFont="1" applyFill="1" applyBorder="1" applyAlignment="1" applyProtection="1">
      <alignment vertical="center"/>
    </xf>
    <xf numFmtId="0" fontId="85" fillId="0" borderId="32" xfId="15" applyFont="1" applyFill="1" applyBorder="1" applyAlignment="1" applyProtection="1">
      <alignment vertical="center" wrapText="1"/>
    </xf>
    <xf numFmtId="0" fontId="41" fillId="10" borderId="2" xfId="15" applyFont="1" applyFill="1" applyBorder="1" applyAlignment="1" applyProtection="1">
      <alignment vertical="center" wrapText="1"/>
    </xf>
    <xf numFmtId="0" fontId="52" fillId="0" borderId="0" xfId="15" applyFont="1" applyFill="1" applyBorder="1" applyAlignment="1" applyProtection="1">
      <alignment vertical="center" wrapText="1"/>
    </xf>
    <xf numFmtId="0" fontId="41" fillId="0" borderId="0" xfId="0" applyFont="1" applyFill="1" applyAlignment="1" applyProtection="1">
      <alignment vertical="center"/>
    </xf>
    <xf numFmtId="0" fontId="52" fillId="0" borderId="0" xfId="0" applyFont="1" applyFill="1" applyAlignment="1" applyProtection="1">
      <alignment vertical="center"/>
    </xf>
    <xf numFmtId="0" fontId="55" fillId="10" borderId="32" xfId="0" applyFont="1" applyFill="1" applyBorder="1" applyAlignment="1">
      <alignment vertical="center"/>
    </xf>
    <xf numFmtId="0" fontId="52" fillId="10" borderId="32" xfId="15" applyFont="1" applyFill="1" applyBorder="1" applyAlignment="1" applyProtection="1">
      <alignment vertical="center"/>
    </xf>
    <xf numFmtId="0" fontId="52" fillId="12" borderId="32" xfId="15" applyFont="1" applyFill="1" applyBorder="1" applyAlignment="1" applyProtection="1">
      <alignment vertical="center" wrapText="1"/>
    </xf>
    <xf numFmtId="165" fontId="52" fillId="12" borderId="32" xfId="1" applyNumberFormat="1" applyFont="1" applyFill="1" applyBorder="1" applyAlignment="1">
      <alignment horizontal="center"/>
    </xf>
    <xf numFmtId="0" fontId="85" fillId="12" borderId="32" xfId="15" applyFont="1" applyFill="1" applyBorder="1" applyAlignment="1" applyProtection="1">
      <alignment vertical="center" wrapText="1"/>
    </xf>
    <xf numFmtId="165" fontId="85" fillId="12" borderId="32" xfId="1" applyNumberFormat="1" applyFont="1" applyFill="1" applyBorder="1" applyAlignment="1" applyProtection="1">
      <alignment vertical="center" wrapText="1"/>
    </xf>
    <xf numFmtId="165" fontId="85" fillId="12" borderId="32" xfId="1" applyNumberFormat="1" applyFont="1" applyFill="1" applyBorder="1" applyAlignment="1">
      <alignment horizontal="center"/>
    </xf>
    <xf numFmtId="165" fontId="41" fillId="0" borderId="32" xfId="1" applyNumberFormat="1" applyFont="1" applyFill="1" applyBorder="1" applyAlignment="1" applyProtection="1">
      <alignment vertical="center"/>
      <protection hidden="1"/>
    </xf>
    <xf numFmtId="14" fontId="88" fillId="0" borderId="0" xfId="0" applyNumberFormat="1" applyFont="1" applyFill="1" applyProtection="1"/>
    <xf numFmtId="14" fontId="52" fillId="0" borderId="0" xfId="0" applyNumberFormat="1" applyFont="1" applyFill="1" applyProtection="1"/>
    <xf numFmtId="14" fontId="41" fillId="0" borderId="0" xfId="1" applyNumberFormat="1" applyFont="1" applyFill="1" applyAlignment="1" applyProtection="1"/>
    <xf numFmtId="14" fontId="41" fillId="26" borderId="0" xfId="1" applyNumberFormat="1" applyFont="1" applyFill="1" applyBorder="1" applyAlignment="1" applyProtection="1">
      <alignment vertical="center"/>
    </xf>
    <xf numFmtId="14" fontId="55" fillId="10" borderId="32" xfId="0" applyNumberFormat="1" applyFont="1" applyFill="1" applyBorder="1"/>
    <xf numFmtId="14" fontId="52" fillId="0" borderId="32" xfId="0" applyNumberFormat="1" applyFont="1" applyFill="1" applyBorder="1" applyAlignment="1" applyProtection="1">
      <alignment horizontal="center" vertical="center" wrapText="1"/>
    </xf>
    <xf numFmtId="14" fontId="52" fillId="10" borderId="32" xfId="15" applyNumberFormat="1" applyFont="1" applyFill="1" applyBorder="1" applyProtection="1"/>
    <xf numFmtId="14" fontId="52" fillId="7" borderId="32" xfId="0" applyNumberFormat="1" applyFont="1" applyFill="1" applyBorder="1" applyAlignment="1" applyProtection="1">
      <alignment horizontal="center" vertical="center" wrapText="1"/>
    </xf>
    <xf numFmtId="14" fontId="52" fillId="12" borderId="32" xfId="0" applyNumberFormat="1" applyFont="1" applyFill="1" applyBorder="1" applyAlignment="1" applyProtection="1">
      <alignment horizontal="center" vertical="center" wrapText="1"/>
    </xf>
    <xf numFmtId="14" fontId="41" fillId="26" borderId="32" xfId="1" applyNumberFormat="1" applyFont="1" applyFill="1" applyBorder="1" applyAlignment="1" applyProtection="1">
      <alignment vertical="center"/>
    </xf>
    <xf numFmtId="14" fontId="57" fillId="0" borderId="32" xfId="0" applyNumberFormat="1" applyFont="1" applyFill="1" applyBorder="1" applyAlignment="1" applyProtection="1">
      <alignment horizontal="center" vertical="center" wrapText="1"/>
    </xf>
    <xf numFmtId="14" fontId="52" fillId="0" borderId="0" xfId="0" applyNumberFormat="1" applyFont="1" applyFill="1" applyBorder="1" applyAlignment="1" applyProtection="1">
      <alignment horizontal="center" vertical="center" wrapText="1"/>
    </xf>
    <xf numFmtId="14" fontId="52" fillId="0" borderId="0" xfId="1" applyNumberFormat="1" applyFont="1" applyFill="1" applyProtection="1"/>
    <xf numFmtId="14" fontId="62" fillId="0" borderId="0" xfId="1" applyNumberFormat="1" applyFont="1" applyFill="1" applyProtection="1"/>
    <xf numFmtId="14" fontId="88" fillId="0" borderId="0" xfId="1" applyNumberFormat="1" applyFont="1" applyFill="1" applyProtection="1"/>
    <xf numFmtId="165" fontId="52" fillId="6" borderId="26" xfId="1" applyNumberFormat="1" applyFont="1" applyFill="1" applyBorder="1" applyAlignment="1" applyProtection="1">
      <alignment vertical="center"/>
    </xf>
    <xf numFmtId="165" fontId="14" fillId="6" borderId="32" xfId="1" applyNumberFormat="1" applyFont="1" applyFill="1" applyBorder="1" applyAlignment="1" applyProtection="1">
      <alignment vertical="center"/>
    </xf>
    <xf numFmtId="0" fontId="0" fillId="12" borderId="0" xfId="0" applyFill="1"/>
    <xf numFmtId="0" fontId="88" fillId="12" borderId="0" xfId="0" applyFont="1" applyFill="1" applyProtection="1"/>
    <xf numFmtId="165" fontId="62" fillId="0" borderId="0" xfId="1" applyNumberFormat="1" applyFont="1" applyFill="1" applyAlignment="1" applyProtection="1"/>
    <xf numFmtId="165" fontId="41" fillId="6" borderId="26" xfId="1" applyNumberFormat="1" applyFont="1" applyFill="1" applyBorder="1" applyAlignment="1" applyProtection="1">
      <alignment vertical="center"/>
    </xf>
    <xf numFmtId="0" fontId="93" fillId="0" borderId="32" xfId="15" applyFont="1" applyFill="1" applyBorder="1" applyAlignment="1" applyProtection="1">
      <alignment horizontal="left" vertical="center" wrapText="1"/>
    </xf>
    <xf numFmtId="165" fontId="93" fillId="0" borderId="32" xfId="1" applyNumberFormat="1" applyFont="1" applyFill="1" applyBorder="1" applyAlignment="1" applyProtection="1">
      <alignment horizontal="center" vertical="center"/>
    </xf>
    <xf numFmtId="0" fontId="93" fillId="0" borderId="32" xfId="15" applyFont="1" applyFill="1" applyBorder="1" applyAlignment="1" applyProtection="1">
      <alignment vertical="center" wrapText="1"/>
    </xf>
    <xf numFmtId="14" fontId="93" fillId="0" borderId="32" xfId="0" applyNumberFormat="1" applyFont="1" applyFill="1" applyBorder="1" applyAlignment="1" applyProtection="1">
      <alignment horizontal="center" vertical="center" wrapText="1"/>
    </xf>
    <xf numFmtId="0" fontId="93" fillId="0" borderId="32" xfId="0" applyFont="1" applyFill="1" applyBorder="1" applyAlignment="1" applyProtection="1">
      <alignment horizontal="center" vertical="center"/>
    </xf>
    <xf numFmtId="165" fontId="93" fillId="0" borderId="26" xfId="1" applyNumberFormat="1" applyFont="1" applyFill="1" applyBorder="1" applyAlignment="1" applyProtection="1">
      <alignment horizontal="center" vertical="center"/>
    </xf>
    <xf numFmtId="165" fontId="93" fillId="0" borderId="26" xfId="1" applyNumberFormat="1" applyFont="1" applyFill="1" applyBorder="1" applyAlignment="1" applyProtection="1">
      <alignment vertical="center"/>
    </xf>
    <xf numFmtId="165" fontId="94" fillId="0" borderId="26" xfId="1" applyNumberFormat="1" applyFont="1" applyFill="1" applyBorder="1" applyAlignment="1" applyProtection="1">
      <alignment vertical="center"/>
    </xf>
    <xf numFmtId="166" fontId="93" fillId="0" borderId="26" xfId="1" applyNumberFormat="1" applyFont="1" applyFill="1" applyBorder="1" applyAlignment="1" applyProtection="1">
      <alignment vertical="center"/>
    </xf>
    <xf numFmtId="165" fontId="93" fillId="0" borderId="28" xfId="1" applyNumberFormat="1" applyFont="1" applyFill="1" applyBorder="1" applyAlignment="1" applyProtection="1">
      <alignment vertical="center"/>
    </xf>
    <xf numFmtId="165" fontId="93" fillId="0" borderId="32" xfId="1" applyNumberFormat="1" applyFont="1" applyFill="1" applyBorder="1" applyAlignment="1" applyProtection="1">
      <alignment vertical="center"/>
    </xf>
    <xf numFmtId="165" fontId="93" fillId="0" borderId="26" xfId="1" applyNumberFormat="1" applyFont="1" applyFill="1" applyBorder="1" applyAlignment="1" applyProtection="1">
      <alignment vertical="center"/>
      <protection hidden="1"/>
    </xf>
    <xf numFmtId="165" fontId="94" fillId="0" borderId="26" xfId="1" applyNumberFormat="1" applyFont="1" applyFill="1" applyBorder="1" applyAlignment="1" applyProtection="1">
      <alignment vertical="center"/>
      <protection hidden="1"/>
    </xf>
    <xf numFmtId="0" fontId="95" fillId="0" borderId="0" xfId="0" applyFont="1" applyFill="1" applyAlignment="1" applyProtection="1">
      <alignment vertical="center"/>
    </xf>
    <xf numFmtId="0" fontId="96" fillId="0" borderId="0" xfId="0" applyFont="1" applyFill="1" applyAlignment="1" applyProtection="1">
      <alignment vertical="center"/>
    </xf>
    <xf numFmtId="0" fontId="93" fillId="0" borderId="1" xfId="7" applyFont="1" applyFill="1" applyBorder="1" applyAlignment="1" applyProtection="1">
      <alignment horizontal="left" vertical="center"/>
    </xf>
    <xf numFmtId="165" fontId="93" fillId="0" borderId="32" xfId="1" applyNumberFormat="1" applyFont="1" applyFill="1" applyBorder="1" applyAlignment="1" applyProtection="1">
      <alignment horizontal="left" vertical="center"/>
    </xf>
    <xf numFmtId="165" fontId="93" fillId="0" borderId="32" xfId="1" applyNumberFormat="1" applyFont="1" applyBorder="1" applyAlignment="1">
      <alignment horizontal="center"/>
    </xf>
    <xf numFmtId="0" fontId="93" fillId="0" borderId="26" xfId="0" applyFont="1" applyFill="1" applyBorder="1" applyAlignment="1" applyProtection="1">
      <alignment horizontal="center" vertical="center"/>
    </xf>
    <xf numFmtId="165" fontId="93" fillId="12" borderId="32" xfId="1" applyNumberFormat="1" applyFont="1" applyFill="1" applyBorder="1" applyAlignment="1" applyProtection="1">
      <alignment vertical="center"/>
    </xf>
    <xf numFmtId="165" fontId="97" fillId="12" borderId="32" xfId="1" applyNumberFormat="1" applyFont="1" applyFill="1" applyBorder="1" applyAlignment="1" applyProtection="1">
      <alignment vertical="center"/>
    </xf>
    <xf numFmtId="0" fontId="96" fillId="0" borderId="0" xfId="0" applyFont="1" applyFill="1" applyProtection="1"/>
    <xf numFmtId="0" fontId="95" fillId="0" borderId="0" xfId="0" applyFont="1" applyFill="1" applyProtection="1"/>
    <xf numFmtId="165" fontId="93" fillId="0" borderId="32" xfId="1" applyNumberFormat="1" applyFont="1" applyFill="1" applyBorder="1" applyAlignment="1" applyProtection="1">
      <alignment vertical="center" wrapText="1"/>
    </xf>
    <xf numFmtId="165" fontId="98" fillId="0" borderId="26" xfId="1" applyNumberFormat="1" applyFont="1" applyFill="1" applyBorder="1" applyAlignment="1" applyProtection="1">
      <alignment horizontal="center" vertical="center"/>
    </xf>
    <xf numFmtId="0" fontId="93" fillId="12" borderId="32" xfId="15" applyFont="1" applyFill="1" applyBorder="1" applyAlignment="1" applyProtection="1">
      <alignment horizontal="left" vertical="center" wrapText="1"/>
    </xf>
    <xf numFmtId="0" fontId="93" fillId="12" borderId="32" xfId="15" applyFont="1" applyFill="1" applyBorder="1" applyAlignment="1" applyProtection="1">
      <alignment vertical="center" wrapText="1"/>
    </xf>
    <xf numFmtId="165" fontId="93" fillId="12" borderId="32" xfId="1" applyNumberFormat="1" applyFont="1" applyFill="1" applyBorder="1" applyAlignment="1" applyProtection="1">
      <alignment vertical="center" wrapText="1"/>
    </xf>
    <xf numFmtId="0" fontId="93" fillId="12" borderId="26" xfId="0" applyFont="1" applyFill="1" applyBorder="1" applyAlignment="1" applyProtection="1">
      <alignment horizontal="center" vertical="center"/>
    </xf>
    <xf numFmtId="165" fontId="93" fillId="0" borderId="28" xfId="1" applyNumberFormat="1" applyFont="1" applyBorder="1" applyAlignment="1">
      <alignment horizontal="center"/>
    </xf>
    <xf numFmtId="165" fontId="97" fillId="0" borderId="32" xfId="1" applyNumberFormat="1" applyFont="1" applyFill="1" applyBorder="1" applyAlignment="1" applyProtection="1">
      <alignment vertical="center"/>
    </xf>
    <xf numFmtId="14" fontId="93" fillId="12" borderId="32" xfId="0" applyNumberFormat="1" applyFont="1" applyFill="1" applyBorder="1" applyAlignment="1" applyProtection="1">
      <alignment horizontal="center" vertical="center" wrapText="1"/>
    </xf>
    <xf numFmtId="165" fontId="52" fillId="12" borderId="26" xfId="1" applyNumberFormat="1" applyFont="1" applyFill="1" applyBorder="1" applyAlignment="1" applyProtection="1">
      <alignment horizontal="center" vertical="center"/>
    </xf>
    <xf numFmtId="165" fontId="41" fillId="12" borderId="26" xfId="1" applyNumberFormat="1" applyFont="1" applyFill="1" applyBorder="1" applyAlignment="1" applyProtection="1">
      <alignment vertical="center"/>
    </xf>
    <xf numFmtId="165" fontId="41" fillId="61" borderId="26" xfId="1" applyNumberFormat="1" applyFont="1" applyFill="1" applyBorder="1" applyAlignment="1" applyProtection="1">
      <alignment vertical="center"/>
      <protection hidden="1"/>
    </xf>
    <xf numFmtId="0" fontId="93" fillId="0" borderId="33" xfId="15" applyFont="1" applyFill="1" applyBorder="1" applyAlignment="1" applyProtection="1">
      <alignment vertical="center" wrapText="1"/>
    </xf>
    <xf numFmtId="0" fontId="93" fillId="0" borderId="32" xfId="0" applyFont="1" applyFill="1" applyBorder="1" applyAlignment="1">
      <alignment vertical="center"/>
    </xf>
    <xf numFmtId="0" fontId="52" fillId="0" borderId="32" xfId="7" applyFont="1" applyFill="1" applyBorder="1" applyAlignment="1" applyProtection="1">
      <alignment horizontal="left" vertical="center"/>
    </xf>
    <xf numFmtId="0" fontId="93" fillId="12" borderId="1" xfId="7" applyFont="1" applyFill="1" applyBorder="1" applyAlignment="1" applyProtection="1">
      <alignment horizontal="left" vertical="center"/>
    </xf>
    <xf numFmtId="165" fontId="93" fillId="6" borderId="32" xfId="1" applyNumberFormat="1" applyFont="1" applyFill="1" applyBorder="1" applyAlignment="1" applyProtection="1">
      <alignment vertical="center"/>
    </xf>
    <xf numFmtId="0" fontId="93" fillId="0" borderId="32" xfId="7" applyFont="1" applyFill="1" applyBorder="1" applyAlignment="1" applyProtection="1">
      <alignment horizontal="left" vertical="center"/>
    </xf>
    <xf numFmtId="165" fontId="93" fillId="12" borderId="26" xfId="1" applyNumberFormat="1" applyFont="1" applyFill="1" applyBorder="1" applyAlignment="1" applyProtection="1">
      <alignment vertical="center"/>
    </xf>
    <xf numFmtId="165" fontId="94" fillId="0" borderId="32" xfId="1" applyNumberFormat="1" applyFont="1" applyFill="1" applyBorder="1" applyAlignment="1" applyProtection="1">
      <alignment vertical="center"/>
    </xf>
    <xf numFmtId="165" fontId="93" fillId="12" borderId="32" xfId="1" applyNumberFormat="1" applyFont="1" applyFill="1" applyBorder="1" applyAlignment="1" applyProtection="1">
      <alignment horizontal="left" vertical="center"/>
    </xf>
    <xf numFmtId="165" fontId="93" fillId="12" borderId="32" xfId="1" applyNumberFormat="1" applyFont="1" applyFill="1" applyBorder="1" applyAlignment="1" applyProtection="1">
      <alignment horizontal="center" vertical="center"/>
    </xf>
    <xf numFmtId="165" fontId="93" fillId="12" borderId="26" xfId="1" applyNumberFormat="1" applyFont="1" applyFill="1" applyBorder="1" applyAlignment="1" applyProtection="1">
      <alignment horizontal="center" vertical="center"/>
    </xf>
    <xf numFmtId="166" fontId="93" fillId="12" borderId="26" xfId="1" applyNumberFormat="1" applyFont="1" applyFill="1" applyBorder="1" applyAlignment="1" applyProtection="1">
      <alignment vertical="center"/>
    </xf>
    <xf numFmtId="165" fontId="93" fillId="12" borderId="28" xfId="1" applyNumberFormat="1" applyFont="1" applyFill="1" applyBorder="1" applyAlignment="1" applyProtection="1">
      <alignment vertical="center"/>
    </xf>
    <xf numFmtId="165" fontId="94" fillId="12" borderId="26" xfId="1" applyNumberFormat="1" applyFont="1" applyFill="1" applyBorder="1" applyAlignment="1" applyProtection="1">
      <alignment vertical="center"/>
    </xf>
    <xf numFmtId="165" fontId="93" fillId="12" borderId="26" xfId="1" applyNumberFormat="1" applyFont="1" applyFill="1" applyBorder="1" applyAlignment="1" applyProtection="1">
      <alignment vertical="center"/>
      <protection hidden="1"/>
    </xf>
    <xf numFmtId="0" fontId="96" fillId="12" borderId="0" xfId="0" applyFont="1" applyFill="1" applyProtection="1"/>
    <xf numFmtId="165" fontId="52" fillId="0" borderId="32" xfId="48" applyNumberFormat="1" applyFont="1" applyFill="1" applyBorder="1" applyAlignment="1" applyProtection="1">
      <alignment horizontal="left" vertical="center" wrapText="1"/>
    </xf>
    <xf numFmtId="165" fontId="94" fillId="18" borderId="26" xfId="1" applyNumberFormat="1" applyFont="1" applyFill="1" applyBorder="1" applyAlignment="1" applyProtection="1">
      <alignment vertical="center"/>
      <protection hidden="1"/>
    </xf>
    <xf numFmtId="165" fontId="41" fillId="18" borderId="26" xfId="1" applyNumberFormat="1" applyFont="1" applyFill="1" applyBorder="1" applyAlignment="1" applyProtection="1">
      <alignment vertical="center"/>
      <protection hidden="1"/>
    </xf>
    <xf numFmtId="165" fontId="101" fillId="0" borderId="0" xfId="1" applyNumberFormat="1" applyFont="1" applyFill="1" applyBorder="1" applyAlignment="1" applyProtection="1">
      <alignment vertical="center"/>
    </xf>
    <xf numFmtId="0" fontId="46" fillId="0" borderId="0" xfId="0" applyFont="1" applyAlignment="1">
      <alignment horizontal="center" wrapText="1"/>
    </xf>
    <xf numFmtId="0" fontId="42" fillId="0" borderId="0" xfId="0" applyFont="1" applyAlignment="1">
      <alignment horizontal="center"/>
    </xf>
    <xf numFmtId="172" fontId="43" fillId="0" borderId="0" xfId="1" applyNumberFormat="1" applyFont="1" applyAlignment="1">
      <alignment horizontal="center"/>
    </xf>
    <xf numFmtId="43" fontId="48" fillId="13" borderId="8" xfId="1" applyFont="1" applyFill="1" applyBorder="1" applyAlignment="1">
      <alignment horizontal="center" vertical="center"/>
    </xf>
    <xf numFmtId="43" fontId="48" fillId="13" borderId="21" xfId="1" applyFont="1" applyFill="1" applyBorder="1" applyAlignment="1">
      <alignment horizontal="center" vertical="center"/>
    </xf>
    <xf numFmtId="164" fontId="48" fillId="13" borderId="31" xfId="1" applyNumberFormat="1" applyFont="1" applyFill="1" applyBorder="1" applyAlignment="1">
      <alignment horizontal="center" vertical="center"/>
    </xf>
    <xf numFmtId="164" fontId="48" fillId="13" borderId="2" xfId="1" applyNumberFormat="1" applyFont="1" applyFill="1" applyBorder="1" applyAlignment="1">
      <alignment horizontal="center" vertical="center"/>
    </xf>
    <xf numFmtId="171" fontId="48" fillId="13" borderId="32" xfId="1" applyNumberFormat="1" applyFont="1" applyFill="1" applyBorder="1" applyAlignment="1">
      <alignment horizontal="center" vertical="center" wrapText="1"/>
    </xf>
    <xf numFmtId="0" fontId="41" fillId="0" borderId="31" xfId="15" applyFont="1" applyFill="1" applyBorder="1" applyAlignment="1" applyProtection="1">
      <alignment horizontal="center" vertical="center" textRotation="90" wrapText="1"/>
    </xf>
    <xf numFmtId="0" fontId="41" fillId="0" borderId="3" xfId="15" applyFont="1" applyFill="1" applyBorder="1" applyAlignment="1" applyProtection="1">
      <alignment horizontal="center" vertical="center" textRotation="90" wrapText="1"/>
    </xf>
    <xf numFmtId="0" fontId="41" fillId="0" borderId="2" xfId="15" applyFont="1" applyFill="1" applyBorder="1" applyAlignment="1" applyProtection="1">
      <alignment horizontal="center" vertical="center" textRotation="90" wrapText="1"/>
    </xf>
    <xf numFmtId="0" fontId="41" fillId="20" borderId="22" xfId="0" applyFont="1" applyFill="1" applyBorder="1" applyAlignment="1" applyProtection="1">
      <alignment horizontal="center" vertical="center" textRotation="90" wrapText="1"/>
    </xf>
    <xf numFmtId="0" fontId="41" fillId="20" borderId="2" xfId="0" applyFont="1" applyFill="1" applyBorder="1" applyAlignment="1" applyProtection="1">
      <alignment horizontal="center" vertical="center" textRotation="90" wrapText="1"/>
    </xf>
    <xf numFmtId="0" fontId="41" fillId="0" borderId="31" xfId="0" applyFont="1" applyFill="1" applyBorder="1" applyAlignment="1" applyProtection="1">
      <alignment horizontal="center" vertical="center" wrapText="1"/>
    </xf>
    <xf numFmtId="0" fontId="41" fillId="0" borderId="3" xfId="0" applyFont="1" applyFill="1" applyBorder="1" applyAlignment="1" applyProtection="1">
      <alignment horizontal="center" vertical="center" wrapText="1"/>
    </xf>
    <xf numFmtId="0" fontId="41" fillId="0" borderId="2" xfId="0" applyFont="1" applyFill="1" applyBorder="1" applyAlignment="1" applyProtection="1">
      <alignment horizontal="center" vertical="center" wrapText="1"/>
    </xf>
    <xf numFmtId="165" fontId="41" fillId="0" borderId="26" xfId="1" applyNumberFormat="1" applyFont="1" applyFill="1" applyBorder="1" applyAlignment="1" applyProtection="1">
      <alignment horizontal="center" vertical="center" wrapText="1"/>
    </xf>
    <xf numFmtId="0" fontId="41" fillId="0" borderId="22" xfId="15" applyFont="1" applyFill="1" applyBorder="1" applyAlignment="1" applyProtection="1">
      <alignment horizontal="center" vertical="center" textRotation="90" wrapText="1"/>
    </xf>
    <xf numFmtId="0" fontId="41" fillId="0" borderId="26" xfId="0" applyFont="1" applyFill="1" applyBorder="1" applyAlignment="1" applyProtection="1">
      <alignment horizontal="center" vertical="center" wrapText="1"/>
    </xf>
    <xf numFmtId="165" fontId="41" fillId="0" borderId="22" xfId="1" applyNumberFormat="1" applyFont="1" applyFill="1" applyBorder="1" applyAlignment="1" applyProtection="1">
      <alignment horizontal="center" vertical="center" wrapText="1"/>
    </xf>
    <xf numFmtId="165" fontId="41" fillId="0" borderId="3" xfId="1" applyNumberFormat="1" applyFont="1" applyFill="1" applyBorder="1" applyAlignment="1" applyProtection="1">
      <alignment horizontal="center" vertical="center" wrapText="1"/>
    </xf>
    <xf numFmtId="165" fontId="41" fillId="0" borderId="2" xfId="1" applyNumberFormat="1" applyFont="1" applyFill="1" applyBorder="1" applyAlignment="1" applyProtection="1">
      <alignment horizontal="center" vertical="center" wrapText="1"/>
    </xf>
    <xf numFmtId="0" fontId="41" fillId="0" borderId="27" xfId="15" applyFont="1" applyFill="1" applyBorder="1" applyAlignment="1" applyProtection="1">
      <alignment horizontal="center" vertical="center" textRotation="90" wrapText="1"/>
    </xf>
    <xf numFmtId="165" fontId="41" fillId="6" borderId="33" xfId="1" applyNumberFormat="1" applyFont="1" applyFill="1" applyBorder="1" applyAlignment="1" applyProtection="1">
      <alignment horizontal="center" vertical="center" wrapText="1"/>
    </xf>
    <xf numFmtId="165" fontId="41" fillId="6" borderId="29" xfId="1" applyNumberFormat="1" applyFont="1" applyFill="1" applyBorder="1" applyAlignment="1" applyProtection="1">
      <alignment horizontal="center" vertical="center" wrapText="1"/>
    </xf>
    <xf numFmtId="165" fontId="41" fillId="6" borderId="30" xfId="1" applyNumberFormat="1" applyFont="1" applyFill="1" applyBorder="1" applyAlignment="1" applyProtection="1">
      <alignment horizontal="center" vertical="center" wrapText="1"/>
    </xf>
    <xf numFmtId="168" fontId="41" fillId="0" borderId="0" xfId="1" applyNumberFormat="1" applyFont="1" applyFill="1" applyAlignment="1" applyProtection="1">
      <alignment horizontal="left"/>
    </xf>
    <xf numFmtId="0" fontId="41" fillId="0" borderId="1" xfId="0" applyFont="1" applyFill="1" applyBorder="1" applyAlignment="1" applyProtection="1">
      <alignment vertical="center" wrapText="1"/>
    </xf>
    <xf numFmtId="0" fontId="41" fillId="0" borderId="26" xfId="0" applyFont="1" applyFill="1" applyBorder="1" applyAlignment="1" applyProtection="1">
      <alignment vertical="center" wrapText="1"/>
    </xf>
    <xf numFmtId="0" fontId="41" fillId="0" borderId="1" xfId="0" applyFont="1" applyFill="1" applyBorder="1" applyAlignment="1" applyProtection="1">
      <alignment horizontal="center" vertical="center" wrapText="1"/>
    </xf>
    <xf numFmtId="14" fontId="41" fillId="0" borderId="1" xfId="0" applyNumberFormat="1" applyFont="1" applyFill="1" applyBorder="1" applyAlignment="1" applyProtection="1">
      <alignment horizontal="center" vertical="center" wrapText="1"/>
    </xf>
    <xf numFmtId="14" fontId="41" fillId="0" borderId="26" xfId="0" applyNumberFormat="1" applyFont="1" applyFill="1" applyBorder="1" applyAlignment="1" applyProtection="1">
      <alignment horizontal="center" vertical="center" wrapText="1"/>
    </xf>
    <xf numFmtId="0" fontId="41" fillId="0" borderId="22" xfId="0" applyFont="1" applyFill="1" applyBorder="1" applyAlignment="1" applyProtection="1">
      <alignment horizontal="center" vertical="center" wrapText="1"/>
    </xf>
    <xf numFmtId="0" fontId="41" fillId="0" borderId="22" xfId="0" applyFont="1" applyFill="1" applyBorder="1" applyAlignment="1" applyProtection="1">
      <alignment horizontal="center" vertical="center" textRotation="90" wrapText="1"/>
    </xf>
    <xf numFmtId="0" fontId="41" fillId="0" borderId="3" xfId="0" applyFont="1" applyFill="1" applyBorder="1" applyAlignment="1" applyProtection="1">
      <alignment horizontal="center" vertical="center" textRotation="90" wrapText="1"/>
    </xf>
    <xf numFmtId="0" fontId="41" fillId="0" borderId="2" xfId="0" applyFont="1" applyFill="1" applyBorder="1" applyAlignment="1" applyProtection="1">
      <alignment horizontal="center" vertical="center" textRotation="90" wrapText="1"/>
    </xf>
    <xf numFmtId="165" fontId="54" fillId="22" borderId="23" xfId="21" applyNumberFormat="1" applyFont="1" applyFill="1" applyBorder="1" applyAlignment="1" applyProtection="1">
      <alignment horizontal="center" vertical="center" wrapText="1"/>
    </xf>
    <xf numFmtId="165" fontId="54" fillId="22" borderId="24" xfId="21" applyNumberFormat="1" applyFont="1" applyFill="1" applyBorder="1" applyAlignment="1" applyProtection="1">
      <alignment horizontal="center" vertical="center" wrapText="1"/>
    </xf>
    <xf numFmtId="165" fontId="54" fillId="22" borderId="25" xfId="21" applyNumberFormat="1" applyFont="1" applyFill="1" applyBorder="1" applyAlignment="1" applyProtection="1">
      <alignment horizontal="center" vertical="center" wrapText="1"/>
    </xf>
    <xf numFmtId="165" fontId="54" fillId="23" borderId="23" xfId="21" applyNumberFormat="1" applyFont="1" applyFill="1" applyBorder="1" applyAlignment="1" applyProtection="1">
      <alignment horizontal="center" vertical="center" wrapText="1"/>
    </xf>
    <xf numFmtId="165" fontId="54" fillId="23" borderId="24" xfId="21" applyNumberFormat="1" applyFont="1" applyFill="1" applyBorder="1" applyAlignment="1" applyProtection="1">
      <alignment horizontal="center" vertical="center" wrapText="1"/>
    </xf>
    <xf numFmtId="165" fontId="54" fillId="23" borderId="25" xfId="21" applyNumberFormat="1" applyFont="1" applyFill="1" applyBorder="1" applyAlignment="1" applyProtection="1">
      <alignment horizontal="center" vertical="center" wrapText="1"/>
    </xf>
    <xf numFmtId="0" fontId="41" fillId="3" borderId="22" xfId="0" applyFont="1" applyFill="1" applyBorder="1" applyAlignment="1" applyProtection="1">
      <alignment horizontal="center" vertical="center" textRotation="90" wrapText="1"/>
    </xf>
    <xf numFmtId="0" fontId="41" fillId="3" borderId="2" xfId="0" applyFont="1" applyFill="1" applyBorder="1" applyAlignment="1" applyProtection="1">
      <alignment horizontal="center" vertical="center" textRotation="90" wrapText="1"/>
    </xf>
    <xf numFmtId="0" fontId="52" fillId="0" borderId="0" xfId="0" applyFont="1" applyFill="1" applyAlignment="1" applyProtection="1">
      <alignment horizontal="center"/>
    </xf>
    <xf numFmtId="165" fontId="52" fillId="0" borderId="0" xfId="1" applyNumberFormat="1" applyFont="1" applyFill="1" applyAlignment="1" applyProtection="1">
      <alignment horizontal="center"/>
    </xf>
    <xf numFmtId="165" fontId="62" fillId="0" borderId="0" xfId="1" applyNumberFormat="1" applyFont="1" applyFill="1" applyAlignment="1" applyProtection="1">
      <alignment horizontal="center"/>
    </xf>
    <xf numFmtId="0" fontId="62" fillId="0" borderId="0" xfId="0" applyFont="1" applyFill="1" applyAlignment="1" applyProtection="1">
      <alignment horizontal="center"/>
    </xf>
    <xf numFmtId="0" fontId="16" fillId="0" borderId="32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165" fontId="16" fillId="0" borderId="31" xfId="1" applyNumberFormat="1" applyFont="1" applyBorder="1" applyAlignment="1">
      <alignment horizontal="center" vertical="center"/>
    </xf>
    <xf numFmtId="165" fontId="16" fillId="0" borderId="2" xfId="1" applyNumberFormat="1" applyFont="1" applyBorder="1" applyAlignment="1">
      <alignment horizontal="center" vertical="center"/>
    </xf>
    <xf numFmtId="0" fontId="16" fillId="5" borderId="31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165" fontId="16" fillId="0" borderId="32" xfId="1" applyNumberFormat="1" applyFont="1" applyBorder="1" applyAlignment="1">
      <alignment horizontal="center" wrapText="1"/>
    </xf>
    <xf numFmtId="0" fontId="16" fillId="11" borderId="5" xfId="0" applyFont="1" applyFill="1" applyBorder="1" applyAlignment="1">
      <alignment horizontal="center"/>
    </xf>
    <xf numFmtId="0" fontId="16" fillId="11" borderId="18" xfId="0" applyFont="1" applyFill="1" applyBorder="1" applyAlignment="1">
      <alignment horizontal="center"/>
    </xf>
    <xf numFmtId="0" fontId="16" fillId="11" borderId="6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16" fillId="6" borderId="5" xfId="0" applyFont="1" applyFill="1" applyBorder="1" applyAlignment="1">
      <alignment horizontal="center"/>
    </xf>
    <xf numFmtId="0" fontId="16" fillId="6" borderId="18" xfId="0" applyFont="1" applyFill="1" applyBorder="1" applyAlignment="1">
      <alignment horizontal="center"/>
    </xf>
    <xf numFmtId="0" fontId="16" fillId="6" borderId="6" xfId="0" applyFont="1" applyFill="1" applyBorder="1" applyAlignment="1">
      <alignment horizontal="center"/>
    </xf>
    <xf numFmtId="0" fontId="16" fillId="13" borderId="5" xfId="0" applyFont="1" applyFill="1" applyBorder="1" applyAlignment="1">
      <alignment horizontal="center"/>
    </xf>
    <xf numFmtId="0" fontId="16" fillId="13" borderId="18" xfId="0" applyFont="1" applyFill="1" applyBorder="1" applyAlignment="1">
      <alignment horizontal="center"/>
    </xf>
    <xf numFmtId="0" fontId="16" fillId="13" borderId="6" xfId="0" applyFont="1" applyFill="1" applyBorder="1" applyAlignment="1">
      <alignment horizontal="center"/>
    </xf>
    <xf numFmtId="0" fontId="16" fillId="6" borderId="4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 wrapText="1"/>
    </xf>
  </cellXfs>
  <cellStyles count="137">
    <cellStyle name="20% - Accent1 2" xfId="54"/>
    <cellStyle name="20% - Accent2 2" xfId="55"/>
    <cellStyle name="20% - Accent3 2" xfId="56"/>
    <cellStyle name="20% - Accent4 2" xfId="57"/>
    <cellStyle name="20% - Accent5 2" xfId="58"/>
    <cellStyle name="20% - Accent6 2" xfId="59"/>
    <cellStyle name="40% - Accent1 2" xfId="60"/>
    <cellStyle name="40% - Accent2 2" xfId="61"/>
    <cellStyle name="40% - Accent3 2" xfId="62"/>
    <cellStyle name="40% - Accent4 2" xfId="63"/>
    <cellStyle name="40% - Accent5 2" xfId="64"/>
    <cellStyle name="40% - Accent6 2" xfId="65"/>
    <cellStyle name="60% - Accent1 2" xfId="66"/>
    <cellStyle name="60% - Accent2 2" xfId="67"/>
    <cellStyle name="60% - Accent3 2" xfId="68"/>
    <cellStyle name="60% - Accent4 2" xfId="69"/>
    <cellStyle name="60% - Accent5 2" xfId="70"/>
    <cellStyle name="60% - Accent6 2" xfId="71"/>
    <cellStyle name="Accent1 2" xfId="72"/>
    <cellStyle name="Accent2 2" xfId="73"/>
    <cellStyle name="Accent3 2" xfId="74"/>
    <cellStyle name="Accent4 2" xfId="75"/>
    <cellStyle name="Accent5 2" xfId="76"/>
    <cellStyle name="Accent6 2" xfId="77"/>
    <cellStyle name="Bad 2" xfId="78"/>
    <cellStyle name="Calculation 2" xfId="79"/>
    <cellStyle name="Check Cell 2" xfId="80"/>
    <cellStyle name="Comma" xfId="1" builtinId="3"/>
    <cellStyle name="Comma 10" xfId="48"/>
    <cellStyle name="Comma 11" xfId="50"/>
    <cellStyle name="Comma 12" xfId="53"/>
    <cellStyle name="Comma 13" xfId="113"/>
    <cellStyle name="Comma 2" xfId="2"/>
    <cellStyle name="Comma 2 2" xfId="3"/>
    <cellStyle name="Comma 2 2 2" xfId="22"/>
    <cellStyle name="Comma 2 2 2 2" xfId="36"/>
    <cellStyle name="Comma 2 2 2 2 2" xfId="116"/>
    <cellStyle name="Comma 2 2 2 3" xfId="115"/>
    <cellStyle name="Comma 2 2 3" xfId="34"/>
    <cellStyle name="Comma 2 2 3 2" xfId="117"/>
    <cellStyle name="Comma 2 2 4" xfId="103"/>
    <cellStyle name="Comma 2 2 5" xfId="114"/>
    <cellStyle name="Comma 2 3" xfId="13"/>
    <cellStyle name="Comma 2 3 2" xfId="46"/>
    <cellStyle name="Comma 2 3 3" xfId="97"/>
    <cellStyle name="Comma 2 4" xfId="24"/>
    <cellStyle name="Comma 2 5" xfId="102"/>
    <cellStyle name="Comma 3" xfId="4"/>
    <cellStyle name="Comma 3 2" xfId="23"/>
    <cellStyle name="Comma 3 2 2" xfId="104"/>
    <cellStyle name="Comma 4" xfId="5"/>
    <cellStyle name="Comma 4 2" xfId="14"/>
    <cellStyle name="Comma 4 3" xfId="101"/>
    <cellStyle name="Comma 5" xfId="12"/>
    <cellStyle name="Comma 5 2" xfId="19"/>
    <cellStyle name="Comma 6" xfId="21"/>
    <cellStyle name="Comma 7" xfId="26"/>
    <cellStyle name="Comma 7 2" xfId="38"/>
    <cellStyle name="Comma 7 2 2" xfId="119"/>
    <cellStyle name="Comma 7 3" xfId="118"/>
    <cellStyle name="Comma 8" xfId="28"/>
    <cellStyle name="Comma 8 2" xfId="32"/>
    <cellStyle name="Comma 8 2 2" xfId="44"/>
    <cellStyle name="Comma 8 2 2 2" xfId="122"/>
    <cellStyle name="Comma 8 2 3" xfId="121"/>
    <cellStyle name="Comma 8 3" xfId="40"/>
    <cellStyle name="Comma 8 3 2" xfId="123"/>
    <cellStyle name="Comma 8 4" xfId="120"/>
    <cellStyle name="Comma 9" xfId="30"/>
    <cellStyle name="Comma 9 2" xfId="42"/>
    <cellStyle name="Comma 9 2 2" xfId="125"/>
    <cellStyle name="Comma 9 3" xfId="124"/>
    <cellStyle name="Currency 2" xfId="106"/>
    <cellStyle name="Currency 3" xfId="105"/>
    <cellStyle name="Explanatory Text 2" xfId="81"/>
    <cellStyle name="Good 2" xfId="82"/>
    <cellStyle name="Heading 1 2" xfId="83"/>
    <cellStyle name="Heading 2 2" xfId="84"/>
    <cellStyle name="Heading 3 2" xfId="85"/>
    <cellStyle name="Heading 4 2" xfId="86"/>
    <cellStyle name="Hyperlink 2" xfId="6"/>
    <cellStyle name="Input 2" xfId="87"/>
    <cellStyle name="Linked Cell 2" xfId="88"/>
    <cellStyle name="Neutral 2" xfId="89"/>
    <cellStyle name="Normal" xfId="0" builtinId="0"/>
    <cellStyle name="Normal 10" xfId="47"/>
    <cellStyle name="Normal 10 2" xfId="126"/>
    <cellStyle name="Normal 11" xfId="49"/>
    <cellStyle name="Normal 12" xfId="52"/>
    <cellStyle name="Normal 13" xfId="112"/>
    <cellStyle name="Normal 2" xfId="7"/>
    <cellStyle name="Normal 2 2" xfId="15"/>
    <cellStyle name="Normal 2 2 2" xfId="108"/>
    <cellStyle name="Normal 2 3" xfId="107"/>
    <cellStyle name="Normal 3" xfId="8"/>
    <cellStyle name="Normal 3 2" xfId="16"/>
    <cellStyle name="Normal 3 2 2" xfId="109"/>
    <cellStyle name="Normal 3 3" xfId="90"/>
    <cellStyle name="Normal 4" xfId="9"/>
    <cellStyle name="Normal 4 2" xfId="33"/>
    <cellStyle name="Normal 4 3" xfId="35"/>
    <cellStyle name="Normal 4 3 2" xfId="128"/>
    <cellStyle name="Normal 4 4" xfId="110"/>
    <cellStyle name="Normal 4 5" xfId="127"/>
    <cellStyle name="Normal 5" xfId="11"/>
    <cellStyle name="Normal 5 2" xfId="18"/>
    <cellStyle name="Normal 5 3" xfId="111"/>
    <cellStyle name="Normal 6" xfId="20"/>
    <cellStyle name="Normal 6 2" xfId="100"/>
    <cellStyle name="Normal 7" xfId="25"/>
    <cellStyle name="Normal 7 2" xfId="37"/>
    <cellStyle name="Normal 7 2 2" xfId="130"/>
    <cellStyle name="Normal 7 3" xfId="129"/>
    <cellStyle name="Normal 8" xfId="27"/>
    <cellStyle name="Normal 8 2" xfId="31"/>
    <cellStyle name="Normal 8 2 2" xfId="43"/>
    <cellStyle name="Normal 8 2 2 2" xfId="133"/>
    <cellStyle name="Normal 8 2 3" xfId="132"/>
    <cellStyle name="Normal 8 3" xfId="39"/>
    <cellStyle name="Normal 8 3 2" xfId="134"/>
    <cellStyle name="Normal 8 4" xfId="131"/>
    <cellStyle name="Normal 9" xfId="29"/>
    <cellStyle name="Normal 9 2" xfId="41"/>
    <cellStyle name="Normal 9 2 2" xfId="136"/>
    <cellStyle name="Normal 9 3" xfId="135"/>
    <cellStyle name="Note 2" xfId="91"/>
    <cellStyle name="Output 2" xfId="92"/>
    <cellStyle name="Percent 2" xfId="10"/>
    <cellStyle name="Percent 2 2" xfId="17"/>
    <cellStyle name="Percent 2 2 2" xfId="98"/>
    <cellStyle name="Percent 2 3" xfId="95"/>
    <cellStyle name="Percent 3" xfId="45"/>
    <cellStyle name="Percent 3 2" xfId="99"/>
    <cellStyle name="Percent 3 3" xfId="96"/>
    <cellStyle name="Title" xfId="51" builtinId="15" customBuiltin="1"/>
    <cellStyle name="Total 2" xfId="93"/>
    <cellStyle name="Warning Text 2" xfId="94"/>
  </cellStyles>
  <dxfs count="0"/>
  <tableStyles count="0" defaultTableStyle="TableStyleMedium9" defaultPivotStyle="PivotStyleLight16"/>
  <colors>
    <mruColors>
      <color rgb="FF2B03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111</xdr:row>
      <xdr:rowOff>171038</xdr:rowOff>
    </xdr:from>
    <xdr:to>
      <xdr:col>11</xdr:col>
      <xdr:colOff>796927</xdr:colOff>
      <xdr:row>111</xdr:row>
      <xdr:rowOff>175917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616" y="2076038"/>
          <a:ext cx="6673852" cy="114829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ang%2011/vp%20a.gIANG/VP%20moi/New%20folder/xem%20xet%20luong%202017%20v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AppData/Local/Microsoft/Windows/Temporary%20Internet%20Files/Content.Outlook/53ZXKY64/Luong%20mau%202016%20edit/Bang%20luong%20-%20Thang%20luong%20de%20xuat/Bang%20luong%20T07-201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GĐ-QL"/>
      <sheetName val="Q&amp;A"/>
      <sheetName val="CV - NV co chuyen mon"/>
      <sheetName val="LDPT - NV co tay nghe"/>
      <sheetName val="so sánh 3 bảng"/>
      <sheetName val="p2"/>
      <sheetName val="P2 CHI TIET"/>
      <sheetName val="THANG B.LUONG"/>
      <sheetName val="XEM XET LUONG"/>
      <sheetName val="Sheet1"/>
      <sheetName val="QUY CHẾ"/>
      <sheetName val="NOTE"/>
      <sheetName val="THUẾ TNCN"/>
    </sheetNames>
    <sheetDataSet>
      <sheetData sheetId="0"/>
      <sheetData sheetId="1"/>
      <sheetData sheetId="2"/>
      <sheetData sheetId="3"/>
      <sheetData sheetId="4">
        <row r="60">
          <cell r="K60">
            <v>6315.4476190476189</v>
          </cell>
        </row>
      </sheetData>
      <sheetData sheetId="5"/>
      <sheetData sheetId="6"/>
      <sheetData sheetId="7">
        <row r="5">
          <cell r="B5" t="str">
            <v>CHỦ TỊCH</v>
          </cell>
        </row>
        <row r="60">
          <cell r="B60" t="str">
            <v>Sale admin</v>
          </cell>
        </row>
        <row r="65">
          <cell r="B65" t="str">
            <v>Trưởng đội vận chuyển</v>
          </cell>
        </row>
        <row r="68">
          <cell r="B68" t="str">
            <v>Trưởng đội giao nhận</v>
          </cell>
        </row>
        <row r="99">
          <cell r="B99" t="str">
            <v>Trưởng phòng quản lý chất lượng sản phẩm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y che"/>
      <sheetName val="Thang luong"/>
      <sheetName val="Luong VP"/>
      <sheetName val="Luong KD"/>
      <sheetName val="DT-DS"/>
      <sheetName val="ho tro ngoai"/>
      <sheetName val="Tam ung"/>
      <sheetName val="theluongkd"/>
      <sheetName val="TH cong"/>
      <sheetName val="Doanh so"/>
      <sheetName val="The luongvp"/>
      <sheetName val="Cham cong"/>
      <sheetName val="TH ngay phep"/>
    </sheetNames>
    <sheetDataSet>
      <sheetData sheetId="0"/>
      <sheetData sheetId="1"/>
      <sheetData sheetId="2">
        <row r="26">
          <cell r="C26" t="str">
            <v>Toång coäng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175"/>
  <sheetViews>
    <sheetView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O18" sqref="O18"/>
    </sheetView>
  </sheetViews>
  <sheetFormatPr defaultColWidth="9.08984375" defaultRowHeight="14"/>
  <cols>
    <col min="1" max="1" width="4.453125" style="170" bestFit="1" customWidth="1"/>
    <col min="2" max="2" width="30.36328125" style="171" customWidth="1"/>
    <col min="3" max="3" width="10.453125" style="172" customWidth="1"/>
    <col min="4" max="4" width="11.6328125" style="174" customWidth="1"/>
    <col min="5" max="5" width="12.36328125" style="174" customWidth="1"/>
    <col min="6" max="6" width="12.54296875" style="174" customWidth="1"/>
    <col min="7" max="9" width="13.90625" style="174" bestFit="1" customWidth="1"/>
    <col min="10" max="12" width="13.90625" style="171" bestFit="1" customWidth="1"/>
    <col min="13" max="13" width="1.90625" style="175" customWidth="1"/>
    <col min="14" max="14" width="9.453125" style="176" customWidth="1"/>
    <col min="15" max="15" width="15.6328125" style="177" bestFit="1" customWidth="1"/>
    <col min="16" max="16" width="10.08984375" style="171" customWidth="1"/>
    <col min="17" max="16384" width="9.08984375" style="171"/>
  </cols>
  <sheetData>
    <row r="1" spans="1:15" s="166" customFormat="1" ht="25">
      <c r="A1" s="565" t="s">
        <v>456</v>
      </c>
      <c r="B1" s="565"/>
      <c r="C1" s="565"/>
      <c r="D1" s="565"/>
      <c r="E1" s="565"/>
      <c r="F1" s="565"/>
      <c r="G1" s="565"/>
      <c r="H1" s="565"/>
      <c r="I1" s="565"/>
      <c r="J1" s="566" t="s">
        <v>457</v>
      </c>
      <c r="K1" s="566"/>
      <c r="M1" s="167"/>
      <c r="N1" s="168"/>
      <c r="O1" s="169"/>
    </row>
    <row r="2" spans="1:15">
      <c r="D2" s="173"/>
    </row>
    <row r="3" spans="1:15" s="180" customFormat="1" ht="19.5" customHeight="1">
      <c r="A3" s="178" t="s">
        <v>55</v>
      </c>
      <c r="B3" s="178" t="s">
        <v>458</v>
      </c>
      <c r="C3" s="567" t="s">
        <v>459</v>
      </c>
      <c r="D3" s="568"/>
      <c r="E3" s="568"/>
      <c r="F3" s="568"/>
      <c r="G3" s="568"/>
      <c r="H3" s="568"/>
      <c r="I3" s="568"/>
      <c r="J3" s="568"/>
      <c r="K3" s="568"/>
      <c r="L3" s="568"/>
      <c r="M3" s="179"/>
      <c r="N3" s="569" t="s">
        <v>460</v>
      </c>
      <c r="O3" s="571" t="s">
        <v>461</v>
      </c>
    </row>
    <row r="4" spans="1:15" s="180" customFormat="1" ht="19.5" customHeight="1">
      <c r="A4" s="181"/>
      <c r="B4" s="181"/>
      <c r="C4" s="182">
        <v>1</v>
      </c>
      <c r="D4" s="182">
        <v>2</v>
      </c>
      <c r="E4" s="182">
        <v>3</v>
      </c>
      <c r="F4" s="182">
        <v>4</v>
      </c>
      <c r="G4" s="182">
        <v>5</v>
      </c>
      <c r="H4" s="182">
        <v>6</v>
      </c>
      <c r="I4" s="182">
        <v>7</v>
      </c>
      <c r="J4" s="182">
        <v>8</v>
      </c>
      <c r="K4" s="182">
        <v>9</v>
      </c>
      <c r="L4" s="183">
        <v>10</v>
      </c>
      <c r="M4" s="184"/>
      <c r="N4" s="570"/>
      <c r="O4" s="571"/>
    </row>
    <row r="5" spans="1:15" ht="19.5" customHeight="1">
      <c r="A5" s="185">
        <f>COUNTA($B$4:B5)</f>
        <v>1</v>
      </c>
      <c r="B5" s="186" t="s">
        <v>291</v>
      </c>
      <c r="C5" s="187"/>
      <c r="D5" s="187">
        <f>ROUND(C5*$N$5,-2)</f>
        <v>0</v>
      </c>
      <c r="E5" s="187">
        <f t="shared" ref="E5:H6" si="0">ROUND(D5*$N$5,-2)</f>
        <v>0</v>
      </c>
      <c r="F5" s="187">
        <f t="shared" si="0"/>
        <v>0</v>
      </c>
      <c r="G5" s="187">
        <f t="shared" si="0"/>
        <v>0</v>
      </c>
      <c r="H5" s="187">
        <f t="shared" si="0"/>
        <v>0</v>
      </c>
      <c r="I5" s="187"/>
      <c r="J5" s="187"/>
      <c r="K5" s="187"/>
      <c r="L5" s="187"/>
      <c r="M5" s="188"/>
      <c r="N5" s="189">
        <v>1.3</v>
      </c>
      <c r="O5" s="190"/>
    </row>
    <row r="6" spans="1:15" s="191" customFormat="1" ht="19.5" customHeight="1">
      <c r="A6" s="185">
        <f>COUNTA($B$4:B6)</f>
        <v>2</v>
      </c>
      <c r="B6" s="186" t="s">
        <v>246</v>
      </c>
      <c r="C6" s="187"/>
      <c r="D6" s="187">
        <f>ROUND(C6*$N$5,-2)</f>
        <v>0</v>
      </c>
      <c r="E6" s="187">
        <f t="shared" si="0"/>
        <v>0</v>
      </c>
      <c r="F6" s="187">
        <f t="shared" si="0"/>
        <v>0</v>
      </c>
      <c r="G6" s="187">
        <f t="shared" si="0"/>
        <v>0</v>
      </c>
      <c r="H6" s="187">
        <f t="shared" si="0"/>
        <v>0</v>
      </c>
      <c r="I6" s="187"/>
      <c r="J6" s="187"/>
      <c r="K6" s="187"/>
      <c r="L6" s="187"/>
      <c r="M6" s="188"/>
      <c r="N6" s="189">
        <v>1.3</v>
      </c>
      <c r="O6" s="190"/>
    </row>
    <row r="7" spans="1:15" ht="19.5" customHeight="1">
      <c r="A7" s="185">
        <f>COUNTA($B$4:B7)</f>
        <v>3</v>
      </c>
      <c r="B7" s="186" t="s">
        <v>294</v>
      </c>
      <c r="C7" s="192">
        <f>ROUND(D7/N7,-1)</f>
        <v>0</v>
      </c>
      <c r="D7" s="192">
        <f>ROUND(E7/N7,-1)</f>
        <v>0</v>
      </c>
      <c r="E7" s="193">
        <f>ROUND(O7,-1)</f>
        <v>0</v>
      </c>
      <c r="F7" s="193">
        <f t="shared" ref="F7:L22" si="1">ROUND(E7*$N7,-1)</f>
        <v>0</v>
      </c>
      <c r="G7" s="193">
        <f t="shared" si="1"/>
        <v>0</v>
      </c>
      <c r="H7" s="193">
        <f t="shared" si="1"/>
        <v>0</v>
      </c>
      <c r="I7" s="193">
        <f t="shared" si="1"/>
        <v>0</v>
      </c>
      <c r="J7" s="193">
        <f t="shared" si="1"/>
        <v>0</v>
      </c>
      <c r="K7" s="193">
        <f t="shared" si="1"/>
        <v>0</v>
      </c>
      <c r="L7" s="193">
        <f>ROUND(K7*$N7,-1)</f>
        <v>0</v>
      </c>
      <c r="M7" s="188"/>
      <c r="N7" s="189">
        <v>1.2</v>
      </c>
      <c r="O7" s="190"/>
    </row>
    <row r="8" spans="1:15" s="191" customFormat="1" ht="19.5" customHeight="1">
      <c r="A8" s="185">
        <f>COUNTA($B$4:B8)</f>
        <v>4</v>
      </c>
      <c r="B8" s="186" t="s">
        <v>462</v>
      </c>
      <c r="C8" s="192">
        <f>ROUND(D8/N8,-1)</f>
        <v>0</v>
      </c>
      <c r="D8" s="192">
        <f>ROUND(E8/N8,-1)</f>
        <v>0</v>
      </c>
      <c r="E8" s="193">
        <f>ROUND(O8,-1)</f>
        <v>0</v>
      </c>
      <c r="F8" s="193">
        <f t="shared" si="1"/>
        <v>0</v>
      </c>
      <c r="G8" s="193">
        <f t="shared" si="1"/>
        <v>0</v>
      </c>
      <c r="H8" s="193">
        <f t="shared" si="1"/>
        <v>0</v>
      </c>
      <c r="I8" s="193">
        <f t="shared" si="1"/>
        <v>0</v>
      </c>
      <c r="J8" s="193">
        <f t="shared" si="1"/>
        <v>0</v>
      </c>
      <c r="K8" s="193">
        <f t="shared" si="1"/>
        <v>0</v>
      </c>
      <c r="L8" s="193">
        <f t="shared" si="1"/>
        <v>0</v>
      </c>
      <c r="M8" s="188"/>
      <c r="N8" s="189">
        <v>1.2</v>
      </c>
      <c r="O8" s="190"/>
    </row>
    <row r="9" spans="1:15" ht="19.5" customHeight="1">
      <c r="A9" s="194">
        <f>COUNTA($B$4:B9)</f>
        <v>5</v>
      </c>
      <c r="B9" s="195" t="s">
        <v>251</v>
      </c>
      <c r="C9" s="196">
        <f>ROUND(O9,-1)</f>
        <v>0</v>
      </c>
      <c r="D9" s="197">
        <f t="shared" ref="D9:E11" si="2">ROUND(C9*$N9,-1)</f>
        <v>0</v>
      </c>
      <c r="E9" s="197">
        <f t="shared" si="2"/>
        <v>0</v>
      </c>
      <c r="F9" s="197">
        <f t="shared" si="1"/>
        <v>0</v>
      </c>
      <c r="G9" s="197">
        <f t="shared" si="1"/>
        <v>0</v>
      </c>
      <c r="H9" s="197">
        <f t="shared" si="1"/>
        <v>0</v>
      </c>
      <c r="I9" s="197">
        <f t="shared" si="1"/>
        <v>0</v>
      </c>
      <c r="J9" s="197">
        <f t="shared" si="1"/>
        <v>0</v>
      </c>
      <c r="K9" s="197">
        <f t="shared" si="1"/>
        <v>0</v>
      </c>
      <c r="L9" s="197">
        <f>ROUND(K9*$N9,-1)</f>
        <v>0</v>
      </c>
      <c r="M9" s="198"/>
      <c r="N9" s="199">
        <v>1.1100000000000001</v>
      </c>
      <c r="O9" s="200"/>
    </row>
    <row r="10" spans="1:15" ht="19.5" customHeight="1">
      <c r="A10" s="194">
        <f>COUNTA($B$4:B10)</f>
        <v>6</v>
      </c>
      <c r="B10" s="195" t="s">
        <v>463</v>
      </c>
      <c r="C10" s="196">
        <f>ROUND(O10,-1)</f>
        <v>0</v>
      </c>
      <c r="D10" s="197">
        <f t="shared" si="2"/>
        <v>0</v>
      </c>
      <c r="E10" s="197">
        <f t="shared" si="2"/>
        <v>0</v>
      </c>
      <c r="F10" s="197">
        <f t="shared" si="1"/>
        <v>0</v>
      </c>
      <c r="G10" s="197">
        <f t="shared" si="1"/>
        <v>0</v>
      </c>
      <c r="H10" s="197">
        <f t="shared" si="1"/>
        <v>0</v>
      </c>
      <c r="I10" s="197">
        <f t="shared" si="1"/>
        <v>0</v>
      </c>
      <c r="J10" s="197">
        <f t="shared" si="1"/>
        <v>0</v>
      </c>
      <c r="K10" s="197">
        <f t="shared" si="1"/>
        <v>0</v>
      </c>
      <c r="L10" s="197">
        <f t="shared" si="1"/>
        <v>0</v>
      </c>
      <c r="M10" s="201"/>
      <c r="N10" s="202">
        <v>1.1100000000000001</v>
      </c>
      <c r="O10" s="200"/>
    </row>
    <row r="11" spans="1:15" ht="19.5" customHeight="1">
      <c r="A11" s="194">
        <f>COUNTA($B$4:B11)</f>
        <v>7</v>
      </c>
      <c r="B11" s="195" t="s">
        <v>464</v>
      </c>
      <c r="C11" s="196">
        <f>ROUND(O11,-1)</f>
        <v>0</v>
      </c>
      <c r="D11" s="197">
        <f t="shared" si="2"/>
        <v>0</v>
      </c>
      <c r="E11" s="197">
        <f t="shared" si="2"/>
        <v>0</v>
      </c>
      <c r="F11" s="197">
        <f t="shared" si="1"/>
        <v>0</v>
      </c>
      <c r="G11" s="197">
        <f t="shared" si="1"/>
        <v>0</v>
      </c>
      <c r="H11" s="197">
        <f t="shared" si="1"/>
        <v>0</v>
      </c>
      <c r="I11" s="197">
        <f t="shared" si="1"/>
        <v>0</v>
      </c>
      <c r="J11" s="197">
        <f t="shared" si="1"/>
        <v>0</v>
      </c>
      <c r="K11" s="197">
        <f t="shared" si="1"/>
        <v>0</v>
      </c>
      <c r="L11" s="197">
        <f t="shared" si="1"/>
        <v>0</v>
      </c>
      <c r="M11" s="201"/>
      <c r="N11" s="202">
        <v>1.1100000000000001</v>
      </c>
      <c r="O11" s="200"/>
    </row>
    <row r="12" spans="1:15" s="191" customFormat="1" ht="19.5" customHeight="1">
      <c r="A12" s="185">
        <f>COUNTA($B$4:B12)</f>
        <v>8</v>
      </c>
      <c r="B12" s="186" t="s">
        <v>247</v>
      </c>
      <c r="C12" s="187">
        <f>ROUND(D12/N12,-1)</f>
        <v>0</v>
      </c>
      <c r="D12" s="187">
        <f>ROUND(E12/N12,-1)</f>
        <v>0</v>
      </c>
      <c r="E12" s="193">
        <f>ROUND(O12,-1)</f>
        <v>0</v>
      </c>
      <c r="F12" s="193">
        <f t="shared" si="1"/>
        <v>0</v>
      </c>
      <c r="G12" s="193">
        <f t="shared" si="1"/>
        <v>0</v>
      </c>
      <c r="H12" s="193">
        <f t="shared" si="1"/>
        <v>0</v>
      </c>
      <c r="I12" s="193">
        <f t="shared" si="1"/>
        <v>0</v>
      </c>
      <c r="J12" s="193">
        <f t="shared" si="1"/>
        <v>0</v>
      </c>
      <c r="K12" s="193">
        <f t="shared" si="1"/>
        <v>0</v>
      </c>
      <c r="L12" s="193">
        <f t="shared" si="1"/>
        <v>0</v>
      </c>
      <c r="M12" s="188"/>
      <c r="N12" s="189">
        <v>1.2</v>
      </c>
      <c r="O12" s="190"/>
    </row>
    <row r="13" spans="1:15" ht="19.5" customHeight="1">
      <c r="A13" s="194">
        <f>COUNTA($B$4:B13)</f>
        <v>9</v>
      </c>
      <c r="B13" s="195" t="s">
        <v>249</v>
      </c>
      <c r="C13" s="196">
        <f>ROUND(O13,-1)</f>
        <v>0</v>
      </c>
      <c r="D13" s="203">
        <f>ROUND(C13*$N13,-1)</f>
        <v>0</v>
      </c>
      <c r="E13" s="203">
        <f>ROUND(D13*$N13,-1)</f>
        <v>0</v>
      </c>
      <c r="F13" s="203">
        <f t="shared" si="1"/>
        <v>0</v>
      </c>
      <c r="G13" s="203">
        <f t="shared" si="1"/>
        <v>0</v>
      </c>
      <c r="H13" s="203">
        <f t="shared" si="1"/>
        <v>0</v>
      </c>
      <c r="I13" s="203">
        <f t="shared" si="1"/>
        <v>0</v>
      </c>
      <c r="J13" s="203">
        <f t="shared" si="1"/>
        <v>0</v>
      </c>
      <c r="K13" s="203">
        <f t="shared" si="1"/>
        <v>0</v>
      </c>
      <c r="L13" s="203">
        <f t="shared" si="1"/>
        <v>0</v>
      </c>
      <c r="M13" s="204"/>
      <c r="N13" s="202">
        <v>1.1000000000000001</v>
      </c>
      <c r="O13" s="200"/>
    </row>
    <row r="14" spans="1:15" ht="19.5" customHeight="1">
      <c r="A14" s="194">
        <f>COUNTA($B$4:B14)</f>
        <v>10</v>
      </c>
      <c r="B14" s="195" t="s">
        <v>465</v>
      </c>
      <c r="C14" s="196">
        <f>ROUND(O14,-1)</f>
        <v>0</v>
      </c>
      <c r="D14" s="203">
        <f>ROUND(C14*$N14,-1)</f>
        <v>0</v>
      </c>
      <c r="E14" s="203">
        <f>ROUND(D14*$N14,-1)</f>
        <v>0</v>
      </c>
      <c r="F14" s="203">
        <f t="shared" si="1"/>
        <v>0</v>
      </c>
      <c r="G14" s="203">
        <f t="shared" si="1"/>
        <v>0</v>
      </c>
      <c r="H14" s="203">
        <f t="shared" si="1"/>
        <v>0</v>
      </c>
      <c r="I14" s="203">
        <f t="shared" si="1"/>
        <v>0</v>
      </c>
      <c r="J14" s="203">
        <f t="shared" si="1"/>
        <v>0</v>
      </c>
      <c r="K14" s="203">
        <f t="shared" si="1"/>
        <v>0</v>
      </c>
      <c r="L14" s="203">
        <f t="shared" si="1"/>
        <v>0</v>
      </c>
      <c r="M14" s="198"/>
      <c r="N14" s="199">
        <v>1.1000000000000001</v>
      </c>
      <c r="O14" s="200"/>
    </row>
    <row r="15" spans="1:15" ht="19.5" customHeight="1">
      <c r="A15" s="205">
        <f>COUNTA($B$4:B15)</f>
        <v>11</v>
      </c>
      <c r="B15" s="206" t="s">
        <v>466</v>
      </c>
      <c r="C15" s="207">
        <f t="shared" ref="C15:C20" si="3">ROUND(O15,-1)</f>
        <v>0</v>
      </c>
      <c r="D15" s="207">
        <f t="shared" ref="D15:L30" si="4">ROUND(C15*$N15,-1)</f>
        <v>0</v>
      </c>
      <c r="E15" s="207">
        <f t="shared" si="4"/>
        <v>0</v>
      </c>
      <c r="F15" s="207">
        <f t="shared" si="4"/>
        <v>0</v>
      </c>
      <c r="G15" s="207">
        <f t="shared" si="4"/>
        <v>0</v>
      </c>
      <c r="H15" s="207">
        <f t="shared" si="4"/>
        <v>0</v>
      </c>
      <c r="I15" s="207">
        <f t="shared" si="4"/>
        <v>0</v>
      </c>
      <c r="J15" s="207">
        <f t="shared" si="4"/>
        <v>0</v>
      </c>
      <c r="K15" s="207">
        <f t="shared" si="4"/>
        <v>0</v>
      </c>
      <c r="L15" s="207">
        <f t="shared" si="1"/>
        <v>0</v>
      </c>
      <c r="M15" s="208"/>
      <c r="N15" s="209">
        <v>1.1299999999999999</v>
      </c>
      <c r="O15" s="210"/>
    </row>
    <row r="16" spans="1:15" ht="19.5" customHeight="1">
      <c r="A16" s="205">
        <f>COUNTA($B$4:B16)</f>
        <v>12</v>
      </c>
      <c r="B16" s="206" t="s">
        <v>467</v>
      </c>
      <c r="C16" s="211">
        <f t="shared" si="3"/>
        <v>0</v>
      </c>
      <c r="D16" s="211">
        <f t="shared" si="4"/>
        <v>0</v>
      </c>
      <c r="E16" s="211">
        <f t="shared" si="4"/>
        <v>0</v>
      </c>
      <c r="F16" s="211">
        <f t="shared" si="4"/>
        <v>0</v>
      </c>
      <c r="G16" s="211">
        <f t="shared" si="4"/>
        <v>0</v>
      </c>
      <c r="H16" s="211">
        <f t="shared" si="4"/>
        <v>0</v>
      </c>
      <c r="I16" s="211">
        <f t="shared" si="4"/>
        <v>0</v>
      </c>
      <c r="J16" s="211">
        <f t="shared" si="4"/>
        <v>0</v>
      </c>
      <c r="K16" s="211">
        <f t="shared" si="4"/>
        <v>0</v>
      </c>
      <c r="L16" s="211">
        <f t="shared" si="1"/>
        <v>0</v>
      </c>
      <c r="M16" s="212"/>
      <c r="N16" s="213">
        <v>1.1000000000000001</v>
      </c>
      <c r="O16" s="210"/>
    </row>
    <row r="17" spans="1:15" ht="19.5" customHeight="1">
      <c r="A17" s="194">
        <f>COUNTA($B$4:B17)</f>
        <v>13</v>
      </c>
      <c r="B17" s="195" t="s">
        <v>292</v>
      </c>
      <c r="C17" s="196">
        <f t="shared" si="3"/>
        <v>12670</v>
      </c>
      <c r="D17" s="203">
        <f t="shared" si="4"/>
        <v>14190</v>
      </c>
      <c r="E17" s="203">
        <f t="shared" si="4"/>
        <v>15890</v>
      </c>
      <c r="F17" s="203">
        <f t="shared" si="4"/>
        <v>17800</v>
      </c>
      <c r="G17" s="203">
        <f t="shared" si="4"/>
        <v>19940</v>
      </c>
      <c r="H17" s="203">
        <f t="shared" si="4"/>
        <v>22330</v>
      </c>
      <c r="I17" s="203">
        <f t="shared" si="4"/>
        <v>25010</v>
      </c>
      <c r="J17" s="203">
        <f t="shared" si="4"/>
        <v>28010</v>
      </c>
      <c r="K17" s="203">
        <f t="shared" si="4"/>
        <v>31370</v>
      </c>
      <c r="L17" s="203">
        <f t="shared" si="1"/>
        <v>35130</v>
      </c>
      <c r="M17" s="201"/>
      <c r="N17" s="202">
        <v>1.1200000000000001</v>
      </c>
      <c r="O17" s="200">
        <v>12672</v>
      </c>
    </row>
    <row r="18" spans="1:15" ht="19.5" customHeight="1">
      <c r="A18" s="194">
        <f>COUNTA($B$4:B18)</f>
        <v>14</v>
      </c>
      <c r="B18" s="195" t="s">
        <v>293</v>
      </c>
      <c r="C18" s="196">
        <f t="shared" si="3"/>
        <v>0</v>
      </c>
      <c r="D18" s="203">
        <f t="shared" si="4"/>
        <v>0</v>
      </c>
      <c r="E18" s="203">
        <f t="shared" si="4"/>
        <v>0</v>
      </c>
      <c r="F18" s="203">
        <f t="shared" si="4"/>
        <v>0</v>
      </c>
      <c r="G18" s="203">
        <f t="shared" si="4"/>
        <v>0</v>
      </c>
      <c r="H18" s="203">
        <f t="shared" si="4"/>
        <v>0</v>
      </c>
      <c r="I18" s="203">
        <f t="shared" si="4"/>
        <v>0</v>
      </c>
      <c r="J18" s="203">
        <f t="shared" si="4"/>
        <v>0</v>
      </c>
      <c r="K18" s="203">
        <f t="shared" si="4"/>
        <v>0</v>
      </c>
      <c r="L18" s="203">
        <f t="shared" si="1"/>
        <v>0</v>
      </c>
      <c r="M18" s="201"/>
      <c r="N18" s="202">
        <v>1.1000000000000001</v>
      </c>
      <c r="O18" s="200"/>
    </row>
    <row r="19" spans="1:15" ht="19.5" customHeight="1">
      <c r="A19" s="194">
        <f>COUNTA($B$4:B19)</f>
        <v>15</v>
      </c>
      <c r="B19" s="195" t="s">
        <v>248</v>
      </c>
      <c r="C19" s="196">
        <f t="shared" si="3"/>
        <v>0</v>
      </c>
      <c r="D19" s="203">
        <f t="shared" si="4"/>
        <v>0</v>
      </c>
      <c r="E19" s="203">
        <f t="shared" si="4"/>
        <v>0</v>
      </c>
      <c r="F19" s="203">
        <f t="shared" si="4"/>
        <v>0</v>
      </c>
      <c r="G19" s="203">
        <f t="shared" si="4"/>
        <v>0</v>
      </c>
      <c r="H19" s="203">
        <f t="shared" si="4"/>
        <v>0</v>
      </c>
      <c r="I19" s="203">
        <f t="shared" si="4"/>
        <v>0</v>
      </c>
      <c r="J19" s="203">
        <f t="shared" si="4"/>
        <v>0</v>
      </c>
      <c r="K19" s="203">
        <f t="shared" si="4"/>
        <v>0</v>
      </c>
      <c r="L19" s="203">
        <f t="shared" si="1"/>
        <v>0</v>
      </c>
      <c r="M19" s="198"/>
      <c r="N19" s="199">
        <v>1.05</v>
      </c>
      <c r="O19" s="200"/>
    </row>
    <row r="20" spans="1:15" ht="19.5" customHeight="1">
      <c r="A20" s="194">
        <f>COUNTA($B$4:B20)</f>
        <v>16</v>
      </c>
      <c r="B20" s="195" t="s">
        <v>468</v>
      </c>
      <c r="C20" s="196">
        <f t="shared" si="3"/>
        <v>0</v>
      </c>
      <c r="D20" s="203">
        <f t="shared" si="4"/>
        <v>0</v>
      </c>
      <c r="E20" s="203">
        <f t="shared" si="4"/>
        <v>0</v>
      </c>
      <c r="F20" s="203">
        <f t="shared" si="4"/>
        <v>0</v>
      </c>
      <c r="G20" s="203">
        <f t="shared" si="4"/>
        <v>0</v>
      </c>
      <c r="H20" s="203">
        <f t="shared" si="4"/>
        <v>0</v>
      </c>
      <c r="I20" s="203">
        <f t="shared" si="4"/>
        <v>0</v>
      </c>
      <c r="J20" s="203">
        <f t="shared" si="4"/>
        <v>0</v>
      </c>
      <c r="K20" s="203">
        <f t="shared" si="4"/>
        <v>0</v>
      </c>
      <c r="L20" s="203">
        <f t="shared" si="1"/>
        <v>0</v>
      </c>
      <c r="M20" s="201"/>
      <c r="N20" s="202">
        <v>1.05</v>
      </c>
      <c r="O20" s="200"/>
    </row>
    <row r="21" spans="1:15" ht="19.5" customHeight="1">
      <c r="A21" s="185">
        <f>COUNTA($B$4:B21)</f>
        <v>17</v>
      </c>
      <c r="B21" s="186" t="s">
        <v>295</v>
      </c>
      <c r="C21" s="187">
        <f>ROUND(D21/N21,-1)</f>
        <v>0</v>
      </c>
      <c r="D21" s="187">
        <f>ROUND(E21/N21,-1)</f>
        <v>0</v>
      </c>
      <c r="E21" s="193">
        <f>ROUND(O21,-1)</f>
        <v>0</v>
      </c>
      <c r="F21" s="193">
        <f t="shared" si="4"/>
        <v>0</v>
      </c>
      <c r="G21" s="193">
        <f t="shared" si="4"/>
        <v>0</v>
      </c>
      <c r="H21" s="193">
        <f t="shared" si="4"/>
        <v>0</v>
      </c>
      <c r="I21" s="193">
        <f t="shared" si="4"/>
        <v>0</v>
      </c>
      <c r="J21" s="193">
        <f t="shared" si="4"/>
        <v>0</v>
      </c>
      <c r="K21" s="193">
        <f t="shared" si="4"/>
        <v>0</v>
      </c>
      <c r="L21" s="193">
        <f t="shared" si="1"/>
        <v>0</v>
      </c>
      <c r="M21" s="188"/>
      <c r="N21" s="189">
        <v>1.2</v>
      </c>
      <c r="O21" s="190"/>
    </row>
    <row r="22" spans="1:15" s="191" customFormat="1" ht="19.5" customHeight="1">
      <c r="A22" s="194">
        <f>COUNTA($B$4:B22)</f>
        <v>18</v>
      </c>
      <c r="B22" s="214" t="s">
        <v>298</v>
      </c>
      <c r="C22" s="196">
        <f>ROUND(O22,-1)</f>
        <v>0</v>
      </c>
      <c r="D22" s="203">
        <f>ROUND(C22*$N22,-1)</f>
        <v>0</v>
      </c>
      <c r="E22" s="203">
        <f>ROUND(D22*$N22,-1)</f>
        <v>0</v>
      </c>
      <c r="F22" s="203">
        <f t="shared" si="4"/>
        <v>0</v>
      </c>
      <c r="G22" s="203">
        <f t="shared" si="4"/>
        <v>0</v>
      </c>
      <c r="H22" s="203">
        <f t="shared" si="4"/>
        <v>0</v>
      </c>
      <c r="I22" s="203">
        <f t="shared" si="4"/>
        <v>0</v>
      </c>
      <c r="J22" s="203">
        <f t="shared" si="4"/>
        <v>0</v>
      </c>
      <c r="K22" s="203">
        <f t="shared" si="4"/>
        <v>0</v>
      </c>
      <c r="L22" s="203">
        <f t="shared" si="1"/>
        <v>0</v>
      </c>
      <c r="M22" s="201"/>
      <c r="N22" s="202">
        <v>1.2</v>
      </c>
      <c r="O22" s="215"/>
    </row>
    <row r="23" spans="1:15" ht="19.5" customHeight="1">
      <c r="A23" s="194">
        <f>COUNTA($B$4:B23)</f>
        <v>19</v>
      </c>
      <c r="B23" s="195" t="s">
        <v>297</v>
      </c>
      <c r="C23" s="196">
        <f t="shared" ref="C23:C32" si="5">ROUND(O23,-1)</f>
        <v>0</v>
      </c>
      <c r="D23" s="203">
        <f t="shared" ref="D23:L38" si="6">ROUND(C23*$N23,-1)</f>
        <v>0</v>
      </c>
      <c r="E23" s="203">
        <f t="shared" si="6"/>
        <v>0</v>
      </c>
      <c r="F23" s="203">
        <f t="shared" si="4"/>
        <v>0</v>
      </c>
      <c r="G23" s="203">
        <f t="shared" si="4"/>
        <v>0</v>
      </c>
      <c r="H23" s="203">
        <f t="shared" si="4"/>
        <v>0</v>
      </c>
      <c r="I23" s="203">
        <f t="shared" si="4"/>
        <v>0</v>
      </c>
      <c r="J23" s="203">
        <f t="shared" si="4"/>
        <v>0</v>
      </c>
      <c r="K23" s="203">
        <f t="shared" si="4"/>
        <v>0</v>
      </c>
      <c r="L23" s="203">
        <f t="shared" si="4"/>
        <v>0</v>
      </c>
      <c r="M23" s="201"/>
      <c r="N23" s="202">
        <v>1.1200000000000001</v>
      </c>
      <c r="O23" s="200"/>
    </row>
    <row r="24" spans="1:15" ht="19.5" customHeight="1">
      <c r="A24" s="194">
        <f>COUNTA($B$4:B24)</f>
        <v>20</v>
      </c>
      <c r="B24" s="195" t="s">
        <v>469</v>
      </c>
      <c r="C24" s="196"/>
      <c r="D24" s="203">
        <f t="shared" si="6"/>
        <v>0</v>
      </c>
      <c r="E24" s="203">
        <f t="shared" si="6"/>
        <v>0</v>
      </c>
      <c r="F24" s="203">
        <f t="shared" si="4"/>
        <v>0</v>
      </c>
      <c r="G24" s="203">
        <f t="shared" si="4"/>
        <v>0</v>
      </c>
      <c r="H24" s="203">
        <f t="shared" si="4"/>
        <v>0</v>
      </c>
      <c r="I24" s="203">
        <f t="shared" si="4"/>
        <v>0</v>
      </c>
      <c r="J24" s="203">
        <f t="shared" si="4"/>
        <v>0</v>
      </c>
      <c r="K24" s="203">
        <f t="shared" si="4"/>
        <v>0</v>
      </c>
      <c r="L24" s="203">
        <f t="shared" si="4"/>
        <v>0</v>
      </c>
      <c r="M24" s="201"/>
      <c r="N24" s="202">
        <v>1.1000000000000001</v>
      </c>
      <c r="O24" s="200"/>
    </row>
    <row r="25" spans="1:15" ht="19.5" customHeight="1">
      <c r="A25" s="194">
        <f>COUNTA($B$4:B25)</f>
        <v>21</v>
      </c>
      <c r="B25" s="195" t="s">
        <v>470</v>
      </c>
      <c r="C25" s="196">
        <f t="shared" si="5"/>
        <v>0</v>
      </c>
      <c r="D25" s="203">
        <f t="shared" si="6"/>
        <v>0</v>
      </c>
      <c r="E25" s="203">
        <f t="shared" si="6"/>
        <v>0</v>
      </c>
      <c r="F25" s="203">
        <f t="shared" si="4"/>
        <v>0</v>
      </c>
      <c r="G25" s="203">
        <f t="shared" si="4"/>
        <v>0</v>
      </c>
      <c r="H25" s="203">
        <f t="shared" si="4"/>
        <v>0</v>
      </c>
      <c r="I25" s="203">
        <f t="shared" si="4"/>
        <v>0</v>
      </c>
      <c r="J25" s="203">
        <f t="shared" si="4"/>
        <v>0</v>
      </c>
      <c r="K25" s="203">
        <f t="shared" si="4"/>
        <v>0</v>
      </c>
      <c r="L25" s="203">
        <f t="shared" si="4"/>
        <v>0</v>
      </c>
      <c r="M25" s="201"/>
      <c r="N25" s="202">
        <v>1.1299999999999999</v>
      </c>
      <c r="O25" s="200"/>
    </row>
    <row r="26" spans="1:15" ht="19.5" customHeight="1">
      <c r="A26" s="194">
        <f>COUNTA($B$4:B26)</f>
        <v>22</v>
      </c>
      <c r="B26" s="195" t="s">
        <v>296</v>
      </c>
      <c r="C26" s="196">
        <f t="shared" si="5"/>
        <v>0</v>
      </c>
      <c r="D26" s="203">
        <f t="shared" si="6"/>
        <v>0</v>
      </c>
      <c r="E26" s="203">
        <f t="shared" si="6"/>
        <v>0</v>
      </c>
      <c r="F26" s="203">
        <f t="shared" si="4"/>
        <v>0</v>
      </c>
      <c r="G26" s="203">
        <f t="shared" si="4"/>
        <v>0</v>
      </c>
      <c r="H26" s="203">
        <f t="shared" si="4"/>
        <v>0</v>
      </c>
      <c r="I26" s="203">
        <f t="shared" si="4"/>
        <v>0</v>
      </c>
      <c r="J26" s="203">
        <f t="shared" si="4"/>
        <v>0</v>
      </c>
      <c r="K26" s="203">
        <f t="shared" si="4"/>
        <v>0</v>
      </c>
      <c r="L26" s="203">
        <f t="shared" si="4"/>
        <v>0</v>
      </c>
      <c r="M26" s="201"/>
      <c r="N26" s="202">
        <v>1.1299999999999999</v>
      </c>
      <c r="O26" s="200"/>
    </row>
    <row r="27" spans="1:15" ht="19.5" customHeight="1">
      <c r="A27" s="194">
        <f>COUNTA($B$4:B27)</f>
        <v>23</v>
      </c>
      <c r="B27" s="195" t="s">
        <v>471</v>
      </c>
      <c r="C27" s="196">
        <f t="shared" si="5"/>
        <v>0</v>
      </c>
      <c r="D27" s="203">
        <f t="shared" si="6"/>
        <v>0</v>
      </c>
      <c r="E27" s="203">
        <f t="shared" si="6"/>
        <v>0</v>
      </c>
      <c r="F27" s="203">
        <f t="shared" si="4"/>
        <v>0</v>
      </c>
      <c r="G27" s="203">
        <f t="shared" si="4"/>
        <v>0</v>
      </c>
      <c r="H27" s="203">
        <f t="shared" si="4"/>
        <v>0</v>
      </c>
      <c r="I27" s="203">
        <f t="shared" si="4"/>
        <v>0</v>
      </c>
      <c r="J27" s="203">
        <f t="shared" si="4"/>
        <v>0</v>
      </c>
      <c r="K27" s="203">
        <f t="shared" si="4"/>
        <v>0</v>
      </c>
      <c r="L27" s="203">
        <f t="shared" si="4"/>
        <v>0</v>
      </c>
      <c r="M27" s="201"/>
      <c r="N27" s="202">
        <v>1.1000000000000001</v>
      </c>
      <c r="O27" s="200"/>
    </row>
    <row r="28" spans="1:15" ht="19.5" customHeight="1">
      <c r="A28" s="194">
        <f>COUNTA($B$4:B28)</f>
        <v>24</v>
      </c>
      <c r="B28" s="195" t="s">
        <v>253</v>
      </c>
      <c r="C28" s="196">
        <f t="shared" si="5"/>
        <v>0</v>
      </c>
      <c r="D28" s="203">
        <f t="shared" si="6"/>
        <v>0</v>
      </c>
      <c r="E28" s="203">
        <f t="shared" si="6"/>
        <v>0</v>
      </c>
      <c r="F28" s="203">
        <f t="shared" si="4"/>
        <v>0</v>
      </c>
      <c r="G28" s="203">
        <f t="shared" si="4"/>
        <v>0</v>
      </c>
      <c r="H28" s="203">
        <f t="shared" si="4"/>
        <v>0</v>
      </c>
      <c r="I28" s="203">
        <f t="shared" si="4"/>
        <v>0</v>
      </c>
      <c r="J28" s="203">
        <f t="shared" si="4"/>
        <v>0</v>
      </c>
      <c r="K28" s="203">
        <f t="shared" si="4"/>
        <v>0</v>
      </c>
      <c r="L28" s="203">
        <f t="shared" si="4"/>
        <v>0</v>
      </c>
      <c r="M28" s="201"/>
      <c r="N28" s="202">
        <v>1.1000000000000001</v>
      </c>
      <c r="O28" s="200"/>
    </row>
    <row r="29" spans="1:15" ht="19.5" customHeight="1">
      <c r="A29" s="194">
        <f>COUNTA($B$4:B29)</f>
        <v>25</v>
      </c>
      <c r="B29" s="195" t="s">
        <v>472</v>
      </c>
      <c r="C29" s="196">
        <f t="shared" si="5"/>
        <v>0</v>
      </c>
      <c r="D29" s="203">
        <f t="shared" si="6"/>
        <v>0</v>
      </c>
      <c r="E29" s="203">
        <f t="shared" si="6"/>
        <v>0</v>
      </c>
      <c r="F29" s="203">
        <f t="shared" si="4"/>
        <v>0</v>
      </c>
      <c r="G29" s="203">
        <f t="shared" si="4"/>
        <v>0</v>
      </c>
      <c r="H29" s="203">
        <f t="shared" si="4"/>
        <v>0</v>
      </c>
      <c r="I29" s="203">
        <f t="shared" si="4"/>
        <v>0</v>
      </c>
      <c r="J29" s="203">
        <f t="shared" si="4"/>
        <v>0</v>
      </c>
      <c r="K29" s="203">
        <f t="shared" si="4"/>
        <v>0</v>
      </c>
      <c r="L29" s="203">
        <f t="shared" si="4"/>
        <v>0</v>
      </c>
      <c r="M29" s="201"/>
      <c r="N29" s="202">
        <v>1.1000000000000001</v>
      </c>
      <c r="O29" s="200"/>
    </row>
    <row r="30" spans="1:15" ht="19.5" customHeight="1">
      <c r="A30" s="194">
        <f>COUNTA($B$4:B30)</f>
        <v>26</v>
      </c>
      <c r="B30" s="195" t="s">
        <v>252</v>
      </c>
      <c r="C30" s="196">
        <f t="shared" si="5"/>
        <v>0</v>
      </c>
      <c r="D30" s="203">
        <f t="shared" si="6"/>
        <v>0</v>
      </c>
      <c r="E30" s="203">
        <f t="shared" si="6"/>
        <v>0</v>
      </c>
      <c r="F30" s="203">
        <f t="shared" si="4"/>
        <v>0</v>
      </c>
      <c r="G30" s="203">
        <f t="shared" si="4"/>
        <v>0</v>
      </c>
      <c r="H30" s="203">
        <f t="shared" si="4"/>
        <v>0</v>
      </c>
      <c r="I30" s="203">
        <f t="shared" si="4"/>
        <v>0</v>
      </c>
      <c r="J30" s="203">
        <f t="shared" si="4"/>
        <v>0</v>
      </c>
      <c r="K30" s="203">
        <f t="shared" si="4"/>
        <v>0</v>
      </c>
      <c r="L30" s="203">
        <f t="shared" si="4"/>
        <v>0</v>
      </c>
      <c r="M30" s="201"/>
      <c r="N30" s="202">
        <v>1.1000000000000001</v>
      </c>
      <c r="O30" s="216"/>
    </row>
    <row r="31" spans="1:15" ht="19.5" customHeight="1">
      <c r="A31" s="194">
        <f>COUNTA($B$4:B31)</f>
        <v>27</v>
      </c>
      <c r="B31" s="195" t="s">
        <v>277</v>
      </c>
      <c r="C31" s="196">
        <f t="shared" si="5"/>
        <v>0</v>
      </c>
      <c r="D31" s="203">
        <f t="shared" si="6"/>
        <v>0</v>
      </c>
      <c r="E31" s="203">
        <f t="shared" si="6"/>
        <v>0</v>
      </c>
      <c r="F31" s="203">
        <f t="shared" si="6"/>
        <v>0</v>
      </c>
      <c r="G31" s="203">
        <f t="shared" si="6"/>
        <v>0</v>
      </c>
      <c r="H31" s="203">
        <f t="shared" si="6"/>
        <v>0</v>
      </c>
      <c r="I31" s="203">
        <f t="shared" si="6"/>
        <v>0</v>
      </c>
      <c r="J31" s="203">
        <f t="shared" si="6"/>
        <v>0</v>
      </c>
      <c r="K31" s="203">
        <f t="shared" si="6"/>
        <v>0</v>
      </c>
      <c r="L31" s="203">
        <f t="shared" si="6"/>
        <v>0</v>
      </c>
      <c r="M31" s="201"/>
      <c r="N31" s="202">
        <v>1.1100000000000001</v>
      </c>
      <c r="O31" s="200"/>
    </row>
    <row r="32" spans="1:15" ht="19.5" customHeight="1">
      <c r="A32" s="194">
        <f>COUNTA($B$4:B76)</f>
        <v>72</v>
      </c>
      <c r="B32" s="195" t="s">
        <v>279</v>
      </c>
      <c r="C32" s="196">
        <f t="shared" si="5"/>
        <v>0</v>
      </c>
      <c r="D32" s="203">
        <f t="shared" si="6"/>
        <v>0</v>
      </c>
      <c r="E32" s="203">
        <f t="shared" si="6"/>
        <v>0</v>
      </c>
      <c r="F32" s="203">
        <f t="shared" si="6"/>
        <v>0</v>
      </c>
      <c r="G32" s="203">
        <f t="shared" si="6"/>
        <v>0</v>
      </c>
      <c r="H32" s="203">
        <f t="shared" si="6"/>
        <v>0</v>
      </c>
      <c r="I32" s="203">
        <f t="shared" si="6"/>
        <v>0</v>
      </c>
      <c r="J32" s="203">
        <f t="shared" si="6"/>
        <v>0</v>
      </c>
      <c r="K32" s="203">
        <f t="shared" si="6"/>
        <v>0</v>
      </c>
      <c r="L32" s="203">
        <f t="shared" si="6"/>
        <v>0</v>
      </c>
      <c r="M32" s="201"/>
      <c r="N32" s="202">
        <v>1.1000000000000001</v>
      </c>
      <c r="O32" s="200"/>
    </row>
    <row r="33" spans="1:16" ht="19.5" customHeight="1">
      <c r="A33" s="185">
        <f>COUNTA($B$4:B33)</f>
        <v>29</v>
      </c>
      <c r="B33" s="186" t="s">
        <v>258</v>
      </c>
      <c r="C33" s="192">
        <f>ROUND(D33/N33,-1)</f>
        <v>0</v>
      </c>
      <c r="D33" s="193">
        <f>ROUND(E33/N33,-1)</f>
        <v>0</v>
      </c>
      <c r="E33" s="187">
        <f>ROUND(O33,-1)</f>
        <v>0</v>
      </c>
      <c r="F33" s="187">
        <f t="shared" si="6"/>
        <v>0</v>
      </c>
      <c r="G33" s="187">
        <f t="shared" si="6"/>
        <v>0</v>
      </c>
      <c r="H33" s="187">
        <f t="shared" si="6"/>
        <v>0</v>
      </c>
      <c r="I33" s="187">
        <f t="shared" si="6"/>
        <v>0</v>
      </c>
      <c r="J33" s="187">
        <f t="shared" si="6"/>
        <v>0</v>
      </c>
      <c r="K33" s="187">
        <f t="shared" si="6"/>
        <v>0</v>
      </c>
      <c r="L33" s="187">
        <f t="shared" si="6"/>
        <v>0</v>
      </c>
      <c r="M33" s="201"/>
      <c r="N33" s="189">
        <v>1.2</v>
      </c>
      <c r="O33" s="190"/>
    </row>
    <row r="34" spans="1:16" ht="19.5" customHeight="1">
      <c r="A34" s="194">
        <f>COUNTA($B$4:B34)</f>
        <v>30</v>
      </c>
      <c r="B34" s="195" t="s">
        <v>260</v>
      </c>
      <c r="C34" s="196">
        <f>ROUND(O34,-1)</f>
        <v>0</v>
      </c>
      <c r="D34" s="203">
        <f>ROUND(C34*$N34,-1)</f>
        <v>0</v>
      </c>
      <c r="E34" s="203">
        <f>ROUND(D34*$N34,-1)</f>
        <v>0</v>
      </c>
      <c r="F34" s="203">
        <f t="shared" si="6"/>
        <v>0</v>
      </c>
      <c r="G34" s="203">
        <f t="shared" si="6"/>
        <v>0</v>
      </c>
      <c r="H34" s="203">
        <f t="shared" si="6"/>
        <v>0</v>
      </c>
      <c r="I34" s="203">
        <f t="shared" si="6"/>
        <v>0</v>
      </c>
      <c r="J34" s="203">
        <f t="shared" si="6"/>
        <v>0</v>
      </c>
      <c r="K34" s="203">
        <f t="shared" si="6"/>
        <v>0</v>
      </c>
      <c r="L34" s="203">
        <f t="shared" si="6"/>
        <v>0</v>
      </c>
      <c r="M34" s="201"/>
      <c r="N34" s="202">
        <v>1.1000000000000001</v>
      </c>
      <c r="O34" s="200"/>
    </row>
    <row r="35" spans="1:16" ht="19.5" customHeight="1">
      <c r="A35" s="194">
        <f>COUNTA($B$4:B35)</f>
        <v>31</v>
      </c>
      <c r="B35" s="195" t="s">
        <v>259</v>
      </c>
      <c r="C35" s="196">
        <f>ROUND(O35,-1)</f>
        <v>0</v>
      </c>
      <c r="D35" s="203">
        <f>ROUND(C35*$N35,-1)</f>
        <v>0</v>
      </c>
      <c r="E35" s="203">
        <f>ROUND(D35*$N35,-1)</f>
        <v>0</v>
      </c>
      <c r="F35" s="203">
        <f t="shared" si="6"/>
        <v>0</v>
      </c>
      <c r="G35" s="203">
        <f t="shared" si="6"/>
        <v>0</v>
      </c>
      <c r="H35" s="203">
        <f t="shared" si="6"/>
        <v>0</v>
      </c>
      <c r="I35" s="203">
        <f t="shared" si="6"/>
        <v>0</v>
      </c>
      <c r="J35" s="203">
        <f t="shared" si="6"/>
        <v>0</v>
      </c>
      <c r="K35" s="203">
        <f t="shared" si="6"/>
        <v>0</v>
      </c>
      <c r="L35" s="203">
        <f t="shared" si="6"/>
        <v>0</v>
      </c>
      <c r="M35" s="201"/>
      <c r="N35" s="202">
        <v>1.1000000000000001</v>
      </c>
      <c r="O35" s="200"/>
    </row>
    <row r="36" spans="1:16" s="191" customFormat="1" ht="19.5" customHeight="1">
      <c r="A36" s="185">
        <f>COUNTA($B$4:B36)</f>
        <v>32</v>
      </c>
      <c r="B36" s="186" t="s">
        <v>473</v>
      </c>
      <c r="C36" s="193">
        <f>ROUND(D36/N36,-1)</f>
        <v>0</v>
      </c>
      <c r="D36" s="193">
        <f>ROUND(E36/N36,-1)</f>
        <v>0</v>
      </c>
      <c r="E36" s="187">
        <f>ROUND(O36,-1)</f>
        <v>0</v>
      </c>
      <c r="F36" s="187">
        <f t="shared" si="6"/>
        <v>0</v>
      </c>
      <c r="G36" s="187">
        <f t="shared" si="6"/>
        <v>0</v>
      </c>
      <c r="H36" s="187">
        <f t="shared" si="6"/>
        <v>0</v>
      </c>
      <c r="I36" s="187">
        <f t="shared" si="6"/>
        <v>0</v>
      </c>
      <c r="J36" s="187">
        <f t="shared" si="6"/>
        <v>0</v>
      </c>
      <c r="K36" s="187">
        <f t="shared" si="6"/>
        <v>0</v>
      </c>
      <c r="L36" s="187">
        <f t="shared" si="6"/>
        <v>0</v>
      </c>
      <c r="M36" s="188"/>
      <c r="N36" s="189">
        <v>1.2</v>
      </c>
      <c r="O36" s="190"/>
    </row>
    <row r="37" spans="1:16" ht="19.5" customHeight="1">
      <c r="A37" s="194">
        <f>COUNTA($B$4:B37)</f>
        <v>33</v>
      </c>
      <c r="B37" s="195" t="s">
        <v>474</v>
      </c>
      <c r="C37" s="196">
        <f>ROUND(O37,-1)</f>
        <v>0</v>
      </c>
      <c r="D37" s="203">
        <f>ROUND(C37*$N37,-1)</f>
        <v>0</v>
      </c>
      <c r="E37" s="203">
        <f>ROUND(D37*$N37,-1)</f>
        <v>0</v>
      </c>
      <c r="F37" s="203">
        <f t="shared" si="6"/>
        <v>0</v>
      </c>
      <c r="G37" s="203">
        <f t="shared" si="6"/>
        <v>0</v>
      </c>
      <c r="H37" s="203">
        <f t="shared" si="6"/>
        <v>0</v>
      </c>
      <c r="I37" s="203">
        <f t="shared" si="6"/>
        <v>0</v>
      </c>
      <c r="J37" s="203">
        <f t="shared" si="6"/>
        <v>0</v>
      </c>
      <c r="K37" s="203">
        <f t="shared" si="6"/>
        <v>0</v>
      </c>
      <c r="L37" s="203">
        <f t="shared" si="6"/>
        <v>0</v>
      </c>
      <c r="M37" s="201"/>
      <c r="N37" s="202">
        <v>1.1100000000000001</v>
      </c>
      <c r="O37" s="200"/>
    </row>
    <row r="38" spans="1:16" s="191" customFormat="1" ht="19.5" customHeight="1">
      <c r="A38" s="185">
        <f>COUNTA($B$4:B38)</f>
        <v>34</v>
      </c>
      <c r="B38" s="186" t="s">
        <v>299</v>
      </c>
      <c r="C38" s="192">
        <f>ROUND(D38/N38,-1)</f>
        <v>0</v>
      </c>
      <c r="D38" s="193">
        <f>ROUND(E38/N38,-1)</f>
        <v>0</v>
      </c>
      <c r="E38" s="192">
        <f>ROUND(O38,-1)</f>
        <v>0</v>
      </c>
      <c r="F38" s="192">
        <f t="shared" si="6"/>
        <v>0</v>
      </c>
      <c r="G38" s="192">
        <f t="shared" si="6"/>
        <v>0</v>
      </c>
      <c r="H38" s="192">
        <f t="shared" si="6"/>
        <v>0</v>
      </c>
      <c r="I38" s="192">
        <f t="shared" si="6"/>
        <v>0</v>
      </c>
      <c r="J38" s="192">
        <f t="shared" si="6"/>
        <v>0</v>
      </c>
      <c r="K38" s="192">
        <f t="shared" si="6"/>
        <v>0</v>
      </c>
      <c r="L38" s="192">
        <f t="shared" si="6"/>
        <v>0</v>
      </c>
      <c r="M38" s="188"/>
      <c r="N38" s="189">
        <v>1.2</v>
      </c>
      <c r="O38" s="190"/>
    </row>
    <row r="39" spans="1:16" ht="19.5" customHeight="1">
      <c r="A39" s="194">
        <f>COUNTA($B$4:B39)</f>
        <v>35</v>
      </c>
      <c r="B39" s="195" t="s">
        <v>257</v>
      </c>
      <c r="C39" s="196">
        <f>ROUND(O39,-1)</f>
        <v>0</v>
      </c>
      <c r="D39" s="203">
        <f>ROUND(C39*$N39,-1)</f>
        <v>0</v>
      </c>
      <c r="E39" s="203">
        <f>ROUND(D39*$N39,-1)</f>
        <v>0</v>
      </c>
      <c r="F39" s="203">
        <f t="shared" ref="F39:L63" si="7">ROUND(E39*$N39,-1)</f>
        <v>0</v>
      </c>
      <c r="G39" s="203">
        <f t="shared" si="7"/>
        <v>0</v>
      </c>
      <c r="H39" s="203">
        <f t="shared" si="7"/>
        <v>0</v>
      </c>
      <c r="I39" s="203">
        <f t="shared" si="7"/>
        <v>0</v>
      </c>
      <c r="J39" s="203">
        <f t="shared" si="7"/>
        <v>0</v>
      </c>
      <c r="K39" s="203">
        <f t="shared" si="7"/>
        <v>0</v>
      </c>
      <c r="L39" s="203">
        <f t="shared" si="7"/>
        <v>0</v>
      </c>
      <c r="M39" s="201"/>
      <c r="N39" s="202">
        <v>1.1100000000000001</v>
      </c>
      <c r="O39" s="200"/>
    </row>
    <row r="40" spans="1:16" ht="19.5" customHeight="1">
      <c r="A40" s="194"/>
      <c r="B40" s="195" t="s">
        <v>608</v>
      </c>
      <c r="C40" s="203">
        <f>ROUND(D40/$N40,-1)</f>
        <v>0</v>
      </c>
      <c r="D40" s="203">
        <f>ROUND(E40/$N40,-1)</f>
        <v>0</v>
      </c>
      <c r="E40" s="203">
        <f>ROUND(F40/$N40,-1)</f>
        <v>0</v>
      </c>
      <c r="F40" s="203">
        <f>C39</f>
        <v>0</v>
      </c>
      <c r="G40" s="203">
        <f t="shared" ref="G40:L40" si="8">ROUND(F40*$N40,-1)</f>
        <v>0</v>
      </c>
      <c r="H40" s="203">
        <f t="shared" si="8"/>
        <v>0</v>
      </c>
      <c r="I40" s="203">
        <f t="shared" si="8"/>
        <v>0</v>
      </c>
      <c r="J40" s="203">
        <f t="shared" si="8"/>
        <v>0</v>
      </c>
      <c r="K40" s="203">
        <f t="shared" si="8"/>
        <v>0</v>
      </c>
      <c r="L40" s="203">
        <f t="shared" si="8"/>
        <v>0</v>
      </c>
      <c r="M40" s="201"/>
      <c r="N40" s="202">
        <v>1.1000000000000001</v>
      </c>
      <c r="O40" s="200"/>
    </row>
    <row r="41" spans="1:16" ht="19.5" customHeight="1">
      <c r="A41" s="194">
        <f>COUNTA($B$4:B41)</f>
        <v>37</v>
      </c>
      <c r="B41" s="195" t="s">
        <v>475</v>
      </c>
      <c r="C41" s="196">
        <f>ROUND(O41,-1)</f>
        <v>0</v>
      </c>
      <c r="D41" s="203">
        <f>ROUND(C41*$N41,-1)</f>
        <v>0</v>
      </c>
      <c r="E41" s="203">
        <f>ROUND(D41*$N41,-1)</f>
        <v>0</v>
      </c>
      <c r="F41" s="203">
        <f t="shared" si="7"/>
        <v>0</v>
      </c>
      <c r="G41" s="203">
        <f t="shared" si="7"/>
        <v>0</v>
      </c>
      <c r="H41" s="203">
        <f t="shared" si="7"/>
        <v>0</v>
      </c>
      <c r="I41" s="203">
        <f t="shared" si="7"/>
        <v>0</v>
      </c>
      <c r="J41" s="203">
        <f t="shared" si="7"/>
        <v>0</v>
      </c>
      <c r="K41" s="203">
        <f t="shared" si="7"/>
        <v>0</v>
      </c>
      <c r="L41" s="203">
        <f t="shared" si="7"/>
        <v>0</v>
      </c>
      <c r="M41" s="201"/>
      <c r="N41" s="202">
        <v>1.1100000000000001</v>
      </c>
      <c r="O41" s="200"/>
    </row>
    <row r="42" spans="1:16" ht="19.5" customHeight="1">
      <c r="A42" s="194">
        <f>COUNTA($B$4:B42)</f>
        <v>38</v>
      </c>
      <c r="B42" s="217" t="s">
        <v>476</v>
      </c>
      <c r="C42" s="197">
        <f>ROUND(D42/N42,-1)</f>
        <v>0</v>
      </c>
      <c r="D42" s="196">
        <f>ROUND(O42,-1)</f>
        <v>0</v>
      </c>
      <c r="E42" s="203">
        <f>ROUND(D42*$N42,-1)</f>
        <v>0</v>
      </c>
      <c r="F42" s="203">
        <f t="shared" si="7"/>
        <v>0</v>
      </c>
      <c r="G42" s="203">
        <f t="shared" si="7"/>
        <v>0</v>
      </c>
      <c r="H42" s="203">
        <f t="shared" si="7"/>
        <v>0</v>
      </c>
      <c r="I42" s="203">
        <f t="shared" si="7"/>
        <v>0</v>
      </c>
      <c r="J42" s="203">
        <f t="shared" si="7"/>
        <v>0</v>
      </c>
      <c r="K42" s="203">
        <f t="shared" si="7"/>
        <v>0</v>
      </c>
      <c r="L42" s="203">
        <f t="shared" si="7"/>
        <v>0</v>
      </c>
      <c r="M42" s="201"/>
      <c r="N42" s="202">
        <v>1.1100000000000001</v>
      </c>
      <c r="O42" s="200"/>
    </row>
    <row r="43" spans="1:16" s="191" customFormat="1" ht="19.5" customHeight="1">
      <c r="A43" s="185">
        <f>COUNTA($B$4:B43)</f>
        <v>39</v>
      </c>
      <c r="B43" s="186" t="s">
        <v>303</v>
      </c>
      <c r="C43" s="192">
        <f>ROUND(D43/N43,-1)</f>
        <v>0</v>
      </c>
      <c r="D43" s="193">
        <f>ROUND(E43/N43,-1)</f>
        <v>0</v>
      </c>
      <c r="E43" s="192">
        <f>ROUND(O43,-1)</f>
        <v>0</v>
      </c>
      <c r="F43" s="192">
        <f t="shared" si="7"/>
        <v>0</v>
      </c>
      <c r="G43" s="192">
        <f t="shared" si="7"/>
        <v>0</v>
      </c>
      <c r="H43" s="192">
        <f t="shared" si="7"/>
        <v>0</v>
      </c>
      <c r="I43" s="192">
        <f t="shared" si="7"/>
        <v>0</v>
      </c>
      <c r="J43" s="192">
        <f t="shared" si="7"/>
        <v>0</v>
      </c>
      <c r="K43" s="192">
        <f t="shared" si="7"/>
        <v>0</v>
      </c>
      <c r="L43" s="192">
        <f t="shared" si="7"/>
        <v>0</v>
      </c>
      <c r="M43" s="188"/>
      <c r="N43" s="189">
        <v>1.2</v>
      </c>
      <c r="O43" s="190"/>
    </row>
    <row r="44" spans="1:16" ht="19.5" customHeight="1">
      <c r="A44" s="194">
        <f>COUNTA($B$4:B44)</f>
        <v>40</v>
      </c>
      <c r="B44" s="195" t="s">
        <v>592</v>
      </c>
      <c r="C44" s="196">
        <f>ROUND(O44,-1)</f>
        <v>0</v>
      </c>
      <c r="D44" s="203">
        <f t="shared" ref="D44:E47" si="9">ROUND(C44*$N44,-1)</f>
        <v>0</v>
      </c>
      <c r="E44" s="203">
        <f t="shared" si="9"/>
        <v>0</v>
      </c>
      <c r="F44" s="203">
        <f t="shared" si="7"/>
        <v>0</v>
      </c>
      <c r="G44" s="203">
        <f t="shared" si="7"/>
        <v>0</v>
      </c>
      <c r="H44" s="203">
        <f t="shared" si="7"/>
        <v>0</v>
      </c>
      <c r="I44" s="203">
        <f t="shared" si="7"/>
        <v>0</v>
      </c>
      <c r="J44" s="203">
        <f t="shared" si="7"/>
        <v>0</v>
      </c>
      <c r="K44" s="203">
        <f t="shared" si="7"/>
        <v>0</v>
      </c>
      <c r="L44" s="203">
        <f t="shared" si="7"/>
        <v>0</v>
      </c>
      <c r="M44" s="201"/>
      <c r="N44" s="202">
        <v>1.1000000000000001</v>
      </c>
      <c r="O44" s="200"/>
      <c r="P44" s="171" t="str">
        <f>B13</f>
        <v>Nhân viên hành chính/ HCNS NM</v>
      </c>
    </row>
    <row r="45" spans="1:16" ht="19.5" customHeight="1">
      <c r="A45" s="194"/>
      <c r="B45" s="195" t="s">
        <v>593</v>
      </c>
      <c r="C45" s="196">
        <f>ROUND(O45,-1)</f>
        <v>0</v>
      </c>
      <c r="D45" s="203">
        <f t="shared" si="9"/>
        <v>0</v>
      </c>
      <c r="E45" s="203">
        <f t="shared" si="9"/>
        <v>0</v>
      </c>
      <c r="F45" s="203">
        <f t="shared" ref="F45:L45" si="10">ROUND(E45*$N45,-1)</f>
        <v>0</v>
      </c>
      <c r="G45" s="203">
        <f t="shared" si="10"/>
        <v>0</v>
      </c>
      <c r="H45" s="203">
        <f t="shared" si="10"/>
        <v>0</v>
      </c>
      <c r="I45" s="203">
        <f t="shared" si="10"/>
        <v>0</v>
      </c>
      <c r="J45" s="203">
        <f t="shared" si="10"/>
        <v>0</v>
      </c>
      <c r="K45" s="203">
        <f t="shared" si="10"/>
        <v>0</v>
      </c>
      <c r="L45" s="203">
        <f t="shared" si="10"/>
        <v>0</v>
      </c>
      <c r="M45" s="201"/>
      <c r="N45" s="202">
        <v>1.1000000000000001</v>
      </c>
      <c r="O45" s="200"/>
    </row>
    <row r="46" spans="1:16" ht="19.5" customHeight="1">
      <c r="A46" s="194">
        <f>COUNTA($B$4:B46)</f>
        <v>42</v>
      </c>
      <c r="B46" s="195" t="s">
        <v>271</v>
      </c>
      <c r="C46" s="196">
        <f>ROUND(O46,-1)</f>
        <v>0</v>
      </c>
      <c r="D46" s="203">
        <f t="shared" si="9"/>
        <v>0</v>
      </c>
      <c r="E46" s="203">
        <f t="shared" si="9"/>
        <v>0</v>
      </c>
      <c r="F46" s="203">
        <f t="shared" si="7"/>
        <v>0</v>
      </c>
      <c r="G46" s="203">
        <f t="shared" si="7"/>
        <v>0</v>
      </c>
      <c r="H46" s="203">
        <f t="shared" si="7"/>
        <v>0</v>
      </c>
      <c r="I46" s="203">
        <f t="shared" si="7"/>
        <v>0</v>
      </c>
      <c r="J46" s="203">
        <f t="shared" si="7"/>
        <v>0</v>
      </c>
      <c r="K46" s="203">
        <f t="shared" si="7"/>
        <v>0</v>
      </c>
      <c r="L46" s="203">
        <f t="shared" si="7"/>
        <v>0</v>
      </c>
      <c r="M46" s="201"/>
      <c r="N46" s="202">
        <v>1.1100000000000001</v>
      </c>
      <c r="O46" s="200"/>
    </row>
    <row r="47" spans="1:16" ht="19.5" customHeight="1">
      <c r="A47" s="194">
        <f>COUNTA($B$4:B47)</f>
        <v>43</v>
      </c>
      <c r="B47" s="195" t="s">
        <v>269</v>
      </c>
      <c r="C47" s="196">
        <f>ROUND(O47,-1)</f>
        <v>0</v>
      </c>
      <c r="D47" s="203">
        <f t="shared" si="9"/>
        <v>0</v>
      </c>
      <c r="E47" s="203">
        <f t="shared" si="9"/>
        <v>0</v>
      </c>
      <c r="F47" s="203">
        <f t="shared" si="7"/>
        <v>0</v>
      </c>
      <c r="G47" s="203">
        <f t="shared" si="7"/>
        <v>0</v>
      </c>
      <c r="H47" s="203">
        <f t="shared" si="7"/>
        <v>0</v>
      </c>
      <c r="I47" s="203">
        <f t="shared" si="7"/>
        <v>0</v>
      </c>
      <c r="J47" s="203">
        <f t="shared" si="7"/>
        <v>0</v>
      </c>
      <c r="K47" s="203">
        <f t="shared" si="7"/>
        <v>0</v>
      </c>
      <c r="L47" s="203">
        <f t="shared" si="7"/>
        <v>0</v>
      </c>
      <c r="M47" s="201"/>
      <c r="N47" s="202">
        <v>1.1000000000000001</v>
      </c>
      <c r="O47" s="200"/>
    </row>
    <row r="48" spans="1:16" ht="19.5" customHeight="1">
      <c r="A48" s="194">
        <f>COUNTA($B$4:B48)</f>
        <v>44</v>
      </c>
      <c r="B48" s="195" t="s">
        <v>486</v>
      </c>
      <c r="C48" s="203"/>
      <c r="D48" s="203">
        <f>ROUND(E48/$N$48,-1)</f>
        <v>0</v>
      </c>
      <c r="E48" s="203">
        <f>ROUND(F48/$N$48,-1)</f>
        <v>0</v>
      </c>
      <c r="F48" s="203">
        <f>ROUND(G48/$N$48,-1)</f>
        <v>0</v>
      </c>
      <c r="G48" s="203">
        <f>ROUND(H48/$N$48,-1)</f>
        <v>0</v>
      </c>
      <c r="H48" s="196"/>
      <c r="I48" s="203">
        <f>H48*$N$48</f>
        <v>0</v>
      </c>
      <c r="J48" s="203">
        <f>I48*$N$48</f>
        <v>0</v>
      </c>
      <c r="K48" s="203">
        <f>J48*$N$48</f>
        <v>0</v>
      </c>
      <c r="L48" s="203">
        <f>K48*$N$48</f>
        <v>0</v>
      </c>
      <c r="M48" s="201"/>
      <c r="N48" s="202">
        <v>1.07</v>
      </c>
      <c r="O48" s="200"/>
    </row>
    <row r="49" spans="1:16" ht="19.5" customHeight="1">
      <c r="A49" s="194">
        <f>COUNTA($B$4:B49)</f>
        <v>45</v>
      </c>
      <c r="B49" s="195" t="s">
        <v>600</v>
      </c>
      <c r="C49" s="203">
        <f t="shared" ref="C49:K49" si="11">ROUND(D49/$N$49,-1)</f>
        <v>0</v>
      </c>
      <c r="D49" s="203">
        <f t="shared" si="11"/>
        <v>0</v>
      </c>
      <c r="E49" s="203">
        <f t="shared" si="11"/>
        <v>0</v>
      </c>
      <c r="F49" s="203">
        <f t="shared" si="11"/>
        <v>0</v>
      </c>
      <c r="G49" s="203">
        <f t="shared" si="11"/>
        <v>0</v>
      </c>
      <c r="H49" s="203">
        <f t="shared" si="11"/>
        <v>0</v>
      </c>
      <c r="I49" s="203">
        <f t="shared" si="11"/>
        <v>0</v>
      </c>
      <c r="J49" s="203">
        <f t="shared" si="11"/>
        <v>0</v>
      </c>
      <c r="K49" s="203">
        <f t="shared" si="11"/>
        <v>0</v>
      </c>
      <c r="L49" s="196"/>
      <c r="M49" s="201"/>
      <c r="N49" s="202">
        <v>1.05</v>
      </c>
      <c r="O49" s="200"/>
    </row>
    <row r="50" spans="1:16" ht="19.5" customHeight="1">
      <c r="A50" s="194">
        <f>COUNTA($B$4:B50)</f>
        <v>46</v>
      </c>
      <c r="B50" s="195" t="s">
        <v>381</v>
      </c>
      <c r="C50" s="196">
        <f>ROUND(O50,-1)</f>
        <v>0</v>
      </c>
      <c r="D50" s="203">
        <f t="shared" ref="D50:L50" si="12">ROUND(C50*$N50,-1)</f>
        <v>0</v>
      </c>
      <c r="E50" s="203">
        <f t="shared" si="12"/>
        <v>0</v>
      </c>
      <c r="F50" s="203">
        <f t="shared" si="12"/>
        <v>0</v>
      </c>
      <c r="G50" s="203">
        <f t="shared" si="12"/>
        <v>0</v>
      </c>
      <c r="H50" s="203">
        <f t="shared" si="12"/>
        <v>0</v>
      </c>
      <c r="I50" s="203">
        <f t="shared" si="12"/>
        <v>0</v>
      </c>
      <c r="J50" s="203">
        <f t="shared" si="12"/>
        <v>0</v>
      </c>
      <c r="K50" s="203">
        <f t="shared" si="12"/>
        <v>0</v>
      </c>
      <c r="L50" s="203">
        <f t="shared" si="12"/>
        <v>0</v>
      </c>
      <c r="M50" s="201"/>
      <c r="N50" s="202">
        <v>1.05</v>
      </c>
      <c r="O50" s="200"/>
    </row>
    <row r="51" spans="1:16" ht="19.5" customHeight="1">
      <c r="A51" s="194">
        <f>COUNTA($B$4:B51)</f>
        <v>47</v>
      </c>
      <c r="B51" s="195" t="s">
        <v>487</v>
      </c>
      <c r="C51" s="203">
        <f>ROUND(D51/$N$51,-1)</f>
        <v>0</v>
      </c>
      <c r="D51" s="203">
        <f>ROUND(E51/$N$51,-1)</f>
        <v>0</v>
      </c>
      <c r="E51" s="196"/>
      <c r="F51" s="203">
        <f t="shared" ref="F51:L51" si="13">E51*$N$51</f>
        <v>0</v>
      </c>
      <c r="G51" s="203">
        <f t="shared" si="13"/>
        <v>0</v>
      </c>
      <c r="H51" s="203">
        <f t="shared" si="13"/>
        <v>0</v>
      </c>
      <c r="I51" s="203">
        <f t="shared" si="13"/>
        <v>0</v>
      </c>
      <c r="J51" s="203">
        <f t="shared" si="13"/>
        <v>0</v>
      </c>
      <c r="K51" s="203">
        <f t="shared" si="13"/>
        <v>0</v>
      </c>
      <c r="L51" s="203">
        <f t="shared" si="13"/>
        <v>0</v>
      </c>
      <c r="M51" s="201"/>
      <c r="N51" s="202">
        <v>1.07</v>
      </c>
      <c r="O51" s="200"/>
    </row>
    <row r="52" spans="1:16" ht="19.5" customHeight="1">
      <c r="A52" s="194">
        <f>COUNTA($B$4:B52)</f>
        <v>48</v>
      </c>
      <c r="B52" s="195" t="s">
        <v>488</v>
      </c>
      <c r="C52" s="196">
        <f>ROUND(O52,-1)</f>
        <v>0</v>
      </c>
      <c r="D52" s="203">
        <f t="shared" ref="D52:L52" si="14">ROUND(C52*$N52,-1)</f>
        <v>0</v>
      </c>
      <c r="E52" s="203">
        <f t="shared" si="14"/>
        <v>0</v>
      </c>
      <c r="F52" s="203">
        <f t="shared" si="14"/>
        <v>0</v>
      </c>
      <c r="G52" s="203">
        <f t="shared" si="14"/>
        <v>0</v>
      </c>
      <c r="H52" s="203">
        <f t="shared" si="14"/>
        <v>0</v>
      </c>
      <c r="I52" s="203">
        <f t="shared" si="14"/>
        <v>0</v>
      </c>
      <c r="J52" s="203">
        <f t="shared" si="14"/>
        <v>0</v>
      </c>
      <c r="K52" s="203">
        <f t="shared" si="14"/>
        <v>0</v>
      </c>
      <c r="L52" s="203">
        <f t="shared" si="14"/>
        <v>0</v>
      </c>
      <c r="M52" s="201"/>
      <c r="N52" s="202">
        <v>1.05</v>
      </c>
      <c r="O52" s="200"/>
    </row>
    <row r="53" spans="1:16" s="314" customFormat="1" ht="19.5" customHeight="1">
      <c r="A53" s="308"/>
      <c r="B53" s="309" t="s">
        <v>587</v>
      </c>
      <c r="C53" s="310">
        <f>O53</f>
        <v>0</v>
      </c>
      <c r="D53" s="310">
        <f t="shared" ref="D53:L53" si="15">ROUND(C53*$N53,-1)</f>
        <v>0</v>
      </c>
      <c r="E53" s="310">
        <f t="shared" si="15"/>
        <v>0</v>
      </c>
      <c r="F53" s="310">
        <f t="shared" si="15"/>
        <v>0</v>
      </c>
      <c r="G53" s="310">
        <f t="shared" si="15"/>
        <v>0</v>
      </c>
      <c r="H53" s="310">
        <f t="shared" si="15"/>
        <v>0</v>
      </c>
      <c r="I53" s="310">
        <f t="shared" si="15"/>
        <v>0</v>
      </c>
      <c r="J53" s="310">
        <f t="shared" si="15"/>
        <v>0</v>
      </c>
      <c r="K53" s="310">
        <f t="shared" si="15"/>
        <v>0</v>
      </c>
      <c r="L53" s="310">
        <f t="shared" si="15"/>
        <v>0</v>
      </c>
      <c r="M53" s="311"/>
      <c r="N53" s="312">
        <v>1.05</v>
      </c>
      <c r="O53" s="313"/>
    </row>
    <row r="54" spans="1:16" s="191" customFormat="1" ht="19.5" customHeight="1">
      <c r="A54" s="185">
        <f>COUNTA($B$4:B54)</f>
        <v>50</v>
      </c>
      <c r="B54" s="186" t="s">
        <v>300</v>
      </c>
      <c r="C54" s="192">
        <f>D54/N54</f>
        <v>0</v>
      </c>
      <c r="D54" s="193">
        <f>E54/N54</f>
        <v>0</v>
      </c>
      <c r="E54" s="192">
        <f>ROUND(O54,-1)</f>
        <v>0</v>
      </c>
      <c r="F54" s="192">
        <f t="shared" si="7"/>
        <v>0</v>
      </c>
      <c r="G54" s="192">
        <f t="shared" si="7"/>
        <v>0</v>
      </c>
      <c r="H54" s="192">
        <f t="shared" si="7"/>
        <v>0</v>
      </c>
      <c r="I54" s="192">
        <f t="shared" si="7"/>
        <v>0</v>
      </c>
      <c r="J54" s="192">
        <f t="shared" si="7"/>
        <v>0</v>
      </c>
      <c r="K54" s="192">
        <f t="shared" si="7"/>
        <v>0</v>
      </c>
      <c r="L54" s="192">
        <f t="shared" si="7"/>
        <v>0</v>
      </c>
      <c r="M54" s="188"/>
      <c r="N54" s="189">
        <v>1.2</v>
      </c>
      <c r="O54" s="190"/>
    </row>
    <row r="55" spans="1:16" ht="19.5" customHeight="1">
      <c r="A55" s="194">
        <f>COUNTA($B$4:B55)</f>
        <v>51</v>
      </c>
      <c r="B55" s="217" t="s">
        <v>477</v>
      </c>
      <c r="C55" s="197">
        <f>ROUND(D55/N55,-1)</f>
        <v>0</v>
      </c>
      <c r="D55" s="196">
        <f>ROUND(O55,-1)</f>
        <v>0</v>
      </c>
      <c r="E55" s="203">
        <f>ROUND(D55*$N55,-1)</f>
        <v>0</v>
      </c>
      <c r="F55" s="203">
        <f t="shared" si="7"/>
        <v>0</v>
      </c>
      <c r="G55" s="203">
        <f t="shared" si="7"/>
        <v>0</v>
      </c>
      <c r="H55" s="203">
        <f t="shared" si="7"/>
        <v>0</v>
      </c>
      <c r="I55" s="203">
        <f t="shared" si="7"/>
        <v>0</v>
      </c>
      <c r="J55" s="203">
        <f t="shared" si="7"/>
        <v>0</v>
      </c>
      <c r="K55" s="203">
        <f t="shared" si="7"/>
        <v>0</v>
      </c>
      <c r="L55" s="203">
        <f t="shared" si="7"/>
        <v>0</v>
      </c>
      <c r="M55" s="201"/>
      <c r="N55" s="202">
        <v>1.1100000000000001</v>
      </c>
      <c r="O55" s="200"/>
    </row>
    <row r="56" spans="1:16" ht="19.5" customHeight="1">
      <c r="A56" s="194">
        <f>COUNTA($B$4:B56)</f>
        <v>52</v>
      </c>
      <c r="B56" s="217" t="s">
        <v>262</v>
      </c>
      <c r="C56" s="197">
        <f>ROUND(D56/N56,-1)</f>
        <v>0</v>
      </c>
      <c r="D56" s="196">
        <f>ROUND(O56,-1)</f>
        <v>0</v>
      </c>
      <c r="E56" s="203">
        <f>ROUND(D56*$N56,-1)</f>
        <v>0</v>
      </c>
      <c r="F56" s="203">
        <f t="shared" si="7"/>
        <v>0</v>
      </c>
      <c r="G56" s="203">
        <f t="shared" si="7"/>
        <v>0</v>
      </c>
      <c r="H56" s="203">
        <f t="shared" si="7"/>
        <v>0</v>
      </c>
      <c r="I56" s="203">
        <f t="shared" si="7"/>
        <v>0</v>
      </c>
      <c r="J56" s="203">
        <f t="shared" si="7"/>
        <v>0</v>
      </c>
      <c r="K56" s="203">
        <f t="shared" si="7"/>
        <v>0</v>
      </c>
      <c r="L56" s="203">
        <f t="shared" si="7"/>
        <v>0</v>
      </c>
      <c r="M56" s="201"/>
      <c r="N56" s="202">
        <v>1.1100000000000001</v>
      </c>
      <c r="O56" s="200"/>
    </row>
    <row r="57" spans="1:16" ht="19.5" customHeight="1">
      <c r="A57" s="194">
        <f>COUNTA($B$4:B57)</f>
        <v>53</v>
      </c>
      <c r="B57" s="217" t="s">
        <v>478</v>
      </c>
      <c r="C57" s="197">
        <f>ROUND(D57/N57,-1)</f>
        <v>0</v>
      </c>
      <c r="D57" s="196">
        <f>ROUND(O57,-1)</f>
        <v>0</v>
      </c>
      <c r="E57" s="203">
        <f>ROUND(D57*$N57,-1)</f>
        <v>0</v>
      </c>
      <c r="F57" s="203">
        <f t="shared" si="7"/>
        <v>0</v>
      </c>
      <c r="G57" s="203">
        <f t="shared" si="7"/>
        <v>0</v>
      </c>
      <c r="H57" s="203">
        <f t="shared" si="7"/>
        <v>0</v>
      </c>
      <c r="I57" s="203">
        <f t="shared" si="7"/>
        <v>0</v>
      </c>
      <c r="J57" s="203">
        <f t="shared" si="7"/>
        <v>0</v>
      </c>
      <c r="K57" s="203">
        <f t="shared" si="7"/>
        <v>0</v>
      </c>
      <c r="L57" s="203">
        <f t="shared" si="7"/>
        <v>0</v>
      </c>
      <c r="M57" s="201"/>
      <c r="N57" s="202">
        <v>1.1100000000000001</v>
      </c>
      <c r="O57" s="200"/>
    </row>
    <row r="58" spans="1:16" ht="19.5" customHeight="1">
      <c r="A58" s="194">
        <f>COUNTA($B$4:B58)</f>
        <v>54</v>
      </c>
      <c r="B58" s="195" t="s">
        <v>263</v>
      </c>
      <c r="C58" s="196">
        <f>ROUND(O58,-1)</f>
        <v>0</v>
      </c>
      <c r="D58" s="203">
        <f t="shared" ref="D58:E60" si="16">ROUND(C58*$N58,-1)</f>
        <v>0</v>
      </c>
      <c r="E58" s="203">
        <f t="shared" si="16"/>
        <v>0</v>
      </c>
      <c r="F58" s="203">
        <f t="shared" si="7"/>
        <v>0</v>
      </c>
      <c r="G58" s="203">
        <f t="shared" si="7"/>
        <v>0</v>
      </c>
      <c r="H58" s="203">
        <f t="shared" si="7"/>
        <v>0</v>
      </c>
      <c r="I58" s="203">
        <f t="shared" si="7"/>
        <v>0</v>
      </c>
      <c r="J58" s="203">
        <f t="shared" si="7"/>
        <v>0</v>
      </c>
      <c r="K58" s="203">
        <f t="shared" si="7"/>
        <v>0</v>
      </c>
      <c r="L58" s="203">
        <f t="shared" si="7"/>
        <v>0</v>
      </c>
      <c r="M58" s="201"/>
      <c r="N58" s="202">
        <v>1.1000000000000001</v>
      </c>
      <c r="O58" s="200"/>
    </row>
    <row r="59" spans="1:16" ht="19.5" customHeight="1">
      <c r="A59" s="194">
        <f>COUNTA($B$4:B59)</f>
        <v>55</v>
      </c>
      <c r="B59" s="195" t="s">
        <v>301</v>
      </c>
      <c r="C59" s="196">
        <f>ROUND(O59,-1)</f>
        <v>0</v>
      </c>
      <c r="D59" s="203">
        <f t="shared" si="16"/>
        <v>0</v>
      </c>
      <c r="E59" s="203">
        <f t="shared" si="16"/>
        <v>0</v>
      </c>
      <c r="F59" s="203">
        <f t="shared" si="7"/>
        <v>0</v>
      </c>
      <c r="G59" s="203">
        <f t="shared" si="7"/>
        <v>0</v>
      </c>
      <c r="H59" s="203">
        <f t="shared" si="7"/>
        <v>0</v>
      </c>
      <c r="I59" s="203">
        <f t="shared" si="7"/>
        <v>0</v>
      </c>
      <c r="J59" s="203">
        <f t="shared" si="7"/>
        <v>0</v>
      </c>
      <c r="K59" s="203">
        <f t="shared" si="7"/>
        <v>0</v>
      </c>
      <c r="L59" s="203">
        <f t="shared" si="7"/>
        <v>0</v>
      </c>
      <c r="M59" s="201"/>
      <c r="N59" s="202">
        <v>1.1100000000000001</v>
      </c>
      <c r="O59" s="200"/>
    </row>
    <row r="60" spans="1:16" ht="21" customHeight="1">
      <c r="A60" s="194">
        <f>COUNTA($B$4:B120)</f>
        <v>115</v>
      </c>
      <c r="B60" s="195" t="s">
        <v>305</v>
      </c>
      <c r="C60" s="196">
        <f>ROUND(O60,-1)</f>
        <v>0</v>
      </c>
      <c r="D60" s="203">
        <f t="shared" si="16"/>
        <v>0</v>
      </c>
      <c r="E60" s="203">
        <f t="shared" si="16"/>
        <v>0</v>
      </c>
      <c r="F60" s="203">
        <f t="shared" si="7"/>
        <v>0</v>
      </c>
      <c r="G60" s="203">
        <f t="shared" si="7"/>
        <v>0</v>
      </c>
      <c r="H60" s="203">
        <f t="shared" si="7"/>
        <v>0</v>
      </c>
      <c r="I60" s="203">
        <f t="shared" si="7"/>
        <v>0</v>
      </c>
      <c r="J60" s="203">
        <f t="shared" si="7"/>
        <v>0</v>
      </c>
      <c r="K60" s="203">
        <f t="shared" si="7"/>
        <v>0</v>
      </c>
      <c r="L60" s="203">
        <f t="shared" si="7"/>
        <v>0</v>
      </c>
      <c r="M60" s="201"/>
      <c r="N60" s="202">
        <v>1.05</v>
      </c>
      <c r="O60" s="200"/>
    </row>
    <row r="61" spans="1:16" s="191" customFormat="1" ht="19.5" customHeight="1">
      <c r="A61" s="185">
        <f>COUNTA($B$4:B61)</f>
        <v>57</v>
      </c>
      <c r="B61" s="186" t="s">
        <v>479</v>
      </c>
      <c r="C61" s="192">
        <f>ROUND(D61/N61,-1)</f>
        <v>0</v>
      </c>
      <c r="D61" s="193">
        <f>ROUND(E61/N61,-1)</f>
        <v>0</v>
      </c>
      <c r="E61" s="192">
        <f>ROUND(O61,-1)</f>
        <v>0</v>
      </c>
      <c r="F61" s="192">
        <f t="shared" si="7"/>
        <v>0</v>
      </c>
      <c r="G61" s="192">
        <f t="shared" si="7"/>
        <v>0</v>
      </c>
      <c r="H61" s="192">
        <f t="shared" si="7"/>
        <v>0</v>
      </c>
      <c r="I61" s="192">
        <f t="shared" si="7"/>
        <v>0</v>
      </c>
      <c r="J61" s="192">
        <f t="shared" si="7"/>
        <v>0</v>
      </c>
      <c r="K61" s="192">
        <f t="shared" si="7"/>
        <v>0</v>
      </c>
      <c r="L61" s="192">
        <f t="shared" si="7"/>
        <v>0</v>
      </c>
      <c r="M61" s="188"/>
      <c r="N61" s="189">
        <v>1.2</v>
      </c>
      <c r="O61" s="190"/>
    </row>
    <row r="62" spans="1:16" ht="19.5" customHeight="1">
      <c r="A62" s="194">
        <f>COUNTA($B$4:B62)</f>
        <v>58</v>
      </c>
      <c r="B62" s="195" t="s">
        <v>650</v>
      </c>
      <c r="C62" s="415">
        <f>ROUND(O62,-1)</f>
        <v>0</v>
      </c>
      <c r="D62" s="417">
        <f t="shared" ref="D62:K67" si="17">ROUND(C62*$N62,-1)</f>
        <v>0</v>
      </c>
      <c r="E62" s="417">
        <f t="shared" si="17"/>
        <v>0</v>
      </c>
      <c r="F62" s="417">
        <f t="shared" si="7"/>
        <v>0</v>
      </c>
      <c r="G62" s="417">
        <f t="shared" si="7"/>
        <v>0</v>
      </c>
      <c r="H62" s="417">
        <f t="shared" si="7"/>
        <v>0</v>
      </c>
      <c r="I62" s="417">
        <f t="shared" si="7"/>
        <v>0</v>
      </c>
      <c r="J62" s="417">
        <f t="shared" si="7"/>
        <v>0</v>
      </c>
      <c r="K62" s="417">
        <f t="shared" si="7"/>
        <v>0</v>
      </c>
      <c r="L62" s="417">
        <f t="shared" si="7"/>
        <v>0</v>
      </c>
      <c r="M62" s="419"/>
      <c r="N62" s="418">
        <v>1.1200000000000001</v>
      </c>
      <c r="O62" s="416"/>
    </row>
    <row r="63" spans="1:16" ht="19.5" customHeight="1">
      <c r="A63" s="194">
        <f>COUNTA($B$4:B63)</f>
        <v>59</v>
      </c>
      <c r="B63" s="195" t="s">
        <v>651</v>
      </c>
      <c r="C63" s="420">
        <f>ROUND(D63/N63,-1)</f>
        <v>0</v>
      </c>
      <c r="D63" s="415">
        <f>ROUND(O63,-1)</f>
        <v>0</v>
      </c>
      <c r="E63" s="417">
        <f t="shared" si="17"/>
        <v>0</v>
      </c>
      <c r="F63" s="417">
        <f t="shared" si="7"/>
        <v>0</v>
      </c>
      <c r="G63" s="417">
        <f t="shared" si="7"/>
        <v>0</v>
      </c>
      <c r="H63" s="417">
        <f t="shared" si="7"/>
        <v>0</v>
      </c>
      <c r="I63" s="417">
        <f t="shared" si="7"/>
        <v>0</v>
      </c>
      <c r="J63" s="417">
        <f t="shared" si="7"/>
        <v>0</v>
      </c>
      <c r="K63" s="417">
        <f t="shared" si="7"/>
        <v>0</v>
      </c>
      <c r="L63" s="417">
        <f t="shared" ref="L63:L69" si="18">ROUND(K63*$N63,-2)</f>
        <v>0</v>
      </c>
      <c r="M63" s="419"/>
      <c r="N63" s="418">
        <v>1.1100000000000001</v>
      </c>
      <c r="O63" s="416"/>
    </row>
    <row r="64" spans="1:16" ht="19.5" customHeight="1">
      <c r="A64" s="194">
        <f>COUNTA($B$4:B64)</f>
        <v>60</v>
      </c>
      <c r="B64" s="195" t="s">
        <v>652</v>
      </c>
      <c r="C64" s="420">
        <f>ROUND(D64/N64,-1)</f>
        <v>0</v>
      </c>
      <c r="D64" s="415">
        <f>ROUND(O64,-1)</f>
        <v>0</v>
      </c>
      <c r="E64" s="417">
        <f t="shared" si="17"/>
        <v>0</v>
      </c>
      <c r="F64" s="417">
        <f t="shared" si="17"/>
        <v>0</v>
      </c>
      <c r="G64" s="417">
        <f t="shared" si="17"/>
        <v>0</v>
      </c>
      <c r="H64" s="417">
        <f t="shared" si="17"/>
        <v>0</v>
      </c>
      <c r="I64" s="417">
        <f t="shared" si="17"/>
        <v>0</v>
      </c>
      <c r="J64" s="417">
        <f t="shared" si="17"/>
        <v>0</v>
      </c>
      <c r="K64" s="417">
        <f t="shared" si="17"/>
        <v>0</v>
      </c>
      <c r="L64" s="417">
        <f t="shared" si="18"/>
        <v>0</v>
      </c>
      <c r="M64" s="419"/>
      <c r="N64" s="418">
        <v>1.1100000000000001</v>
      </c>
      <c r="O64" s="416"/>
      <c r="P64" s="171" t="e">
        <f>#REF!</f>
        <v>#REF!</v>
      </c>
    </row>
    <row r="65" spans="1:17" ht="19.5" customHeight="1">
      <c r="A65" s="194">
        <f>COUNTA($B$4:B65)</f>
        <v>61</v>
      </c>
      <c r="B65" s="195" t="s">
        <v>653</v>
      </c>
      <c r="C65" s="415">
        <f>ROUND(O65,-1)</f>
        <v>0</v>
      </c>
      <c r="D65" s="417">
        <f>ROUND(C65*$N65,-1)</f>
        <v>0</v>
      </c>
      <c r="E65" s="417">
        <f t="shared" si="17"/>
        <v>0</v>
      </c>
      <c r="F65" s="417">
        <f t="shared" si="17"/>
        <v>0</v>
      </c>
      <c r="G65" s="417">
        <f t="shared" si="17"/>
        <v>0</v>
      </c>
      <c r="H65" s="417">
        <f t="shared" si="17"/>
        <v>0</v>
      </c>
      <c r="I65" s="417">
        <f t="shared" si="17"/>
        <v>0</v>
      </c>
      <c r="J65" s="417">
        <f t="shared" si="17"/>
        <v>0</v>
      </c>
      <c r="K65" s="417">
        <f t="shared" si="17"/>
        <v>0</v>
      </c>
      <c r="L65" s="417">
        <f t="shared" si="18"/>
        <v>0</v>
      </c>
      <c r="M65" s="419"/>
      <c r="N65" s="418">
        <v>1.1100000000000001</v>
      </c>
      <c r="O65" s="416"/>
      <c r="P65" s="171" t="e">
        <f>#REF!</f>
        <v>#REF!</v>
      </c>
    </row>
    <row r="66" spans="1:17" ht="19.5" customHeight="1">
      <c r="A66" s="194"/>
      <c r="B66" s="195" t="s">
        <v>654</v>
      </c>
      <c r="C66" s="415">
        <f>ROUND(O66,-1)</f>
        <v>0</v>
      </c>
      <c r="D66" s="417">
        <f>ROUND(C66*$N66,-1)</f>
        <v>0</v>
      </c>
      <c r="E66" s="417">
        <f t="shared" si="17"/>
        <v>0</v>
      </c>
      <c r="F66" s="417">
        <f t="shared" si="17"/>
        <v>0</v>
      </c>
      <c r="G66" s="417">
        <f t="shared" si="17"/>
        <v>0</v>
      </c>
      <c r="H66" s="417">
        <f t="shared" si="17"/>
        <v>0</v>
      </c>
      <c r="I66" s="417">
        <f t="shared" si="17"/>
        <v>0</v>
      </c>
      <c r="J66" s="417">
        <f t="shared" si="17"/>
        <v>0</v>
      </c>
      <c r="K66" s="417">
        <f t="shared" si="17"/>
        <v>0</v>
      </c>
      <c r="L66" s="417">
        <f t="shared" si="18"/>
        <v>0</v>
      </c>
      <c r="M66" s="419"/>
      <c r="N66" s="418">
        <v>1.1000000000000001</v>
      </c>
      <c r="O66" s="416"/>
    </row>
    <row r="67" spans="1:17" ht="19.5" customHeight="1">
      <c r="A67" s="194"/>
      <c r="B67" s="195" t="s">
        <v>655</v>
      </c>
      <c r="C67" s="415">
        <f>ROUND(O67,-1)</f>
        <v>0</v>
      </c>
      <c r="D67" s="417">
        <f>ROUND(C67*$N67,-1)</f>
        <v>0</v>
      </c>
      <c r="E67" s="417">
        <f>ROUND(D67*$N67,-1)</f>
        <v>0</v>
      </c>
      <c r="F67" s="417">
        <f t="shared" si="17"/>
        <v>0</v>
      </c>
      <c r="G67" s="417">
        <f t="shared" si="17"/>
        <v>0</v>
      </c>
      <c r="H67" s="417">
        <f t="shared" si="17"/>
        <v>0</v>
      </c>
      <c r="I67" s="417">
        <f t="shared" si="17"/>
        <v>0</v>
      </c>
      <c r="J67" s="417">
        <f t="shared" si="17"/>
        <v>0</v>
      </c>
      <c r="K67" s="417">
        <f t="shared" si="17"/>
        <v>0</v>
      </c>
      <c r="L67" s="417">
        <f t="shared" si="18"/>
        <v>0</v>
      </c>
      <c r="M67" s="419"/>
      <c r="N67" s="418">
        <v>1.1200000000000001</v>
      </c>
      <c r="O67" s="416"/>
    </row>
    <row r="68" spans="1:17" ht="19.5" customHeight="1">
      <c r="A68" s="194"/>
      <c r="B68" s="195" t="s">
        <v>656</v>
      </c>
      <c r="C68" s="420">
        <f>ROUND(D68/N68,-1)</f>
        <v>0</v>
      </c>
      <c r="D68" s="415">
        <f>ROUND(O68,-1)</f>
        <v>0</v>
      </c>
      <c r="E68" s="417">
        <f>ROUND(D68*$N68,-1)</f>
        <v>0</v>
      </c>
      <c r="F68" s="417">
        <f t="shared" ref="F68:K69" si="19">ROUND(E68*$N68,-1)</f>
        <v>0</v>
      </c>
      <c r="G68" s="417">
        <f t="shared" si="19"/>
        <v>0</v>
      </c>
      <c r="H68" s="417">
        <f t="shared" si="19"/>
        <v>0</v>
      </c>
      <c r="I68" s="417">
        <f t="shared" si="19"/>
        <v>0</v>
      </c>
      <c r="J68" s="417">
        <f t="shared" si="19"/>
        <v>0</v>
      </c>
      <c r="K68" s="417">
        <f t="shared" si="19"/>
        <v>0</v>
      </c>
      <c r="L68" s="417">
        <f t="shared" si="18"/>
        <v>0</v>
      </c>
      <c r="M68" s="419"/>
      <c r="N68" s="418">
        <v>1.1100000000000001</v>
      </c>
      <c r="O68" s="416"/>
    </row>
    <row r="69" spans="1:17" ht="19.5" customHeight="1">
      <c r="A69" s="194">
        <f>COUNTA($B$4:B69)</f>
        <v>65</v>
      </c>
      <c r="B69" s="195" t="s">
        <v>657</v>
      </c>
      <c r="C69" s="420">
        <f>ROUND(D69/N69,-1)</f>
        <v>0</v>
      </c>
      <c r="D69" s="415">
        <f>ROUND(O69,-1)</f>
        <v>0</v>
      </c>
      <c r="E69" s="417">
        <f>ROUND(D69*$N69,-1)</f>
        <v>0</v>
      </c>
      <c r="F69" s="417">
        <f t="shared" si="19"/>
        <v>0</v>
      </c>
      <c r="G69" s="417">
        <f t="shared" si="19"/>
        <v>0</v>
      </c>
      <c r="H69" s="417">
        <f t="shared" si="19"/>
        <v>0</v>
      </c>
      <c r="I69" s="417">
        <f t="shared" si="19"/>
        <v>0</v>
      </c>
      <c r="J69" s="417">
        <f t="shared" si="19"/>
        <v>0</v>
      </c>
      <c r="K69" s="417">
        <f t="shared" si="19"/>
        <v>0</v>
      </c>
      <c r="L69" s="417">
        <f t="shared" si="18"/>
        <v>0</v>
      </c>
      <c r="M69" s="419"/>
      <c r="N69" s="418">
        <v>1.1100000000000001</v>
      </c>
      <c r="O69" s="416"/>
    </row>
    <row r="70" spans="1:17" s="191" customFormat="1" ht="19.5" customHeight="1">
      <c r="A70" s="185">
        <f>COUNTA($B$4:B70)</f>
        <v>66</v>
      </c>
      <c r="B70" s="186" t="s">
        <v>480</v>
      </c>
      <c r="C70" s="192">
        <f>ROUND(D70/N70,-1)</f>
        <v>0</v>
      </c>
      <c r="D70" s="193">
        <f>ROUND(E70/N70,-1)</f>
        <v>0</v>
      </c>
      <c r="E70" s="192">
        <f>ROUND(O70,-1)</f>
        <v>0</v>
      </c>
      <c r="F70" s="192">
        <f t="shared" ref="F70:L76" si="20">ROUND(E70*$N70,-1)</f>
        <v>0</v>
      </c>
      <c r="G70" s="192">
        <f t="shared" si="20"/>
        <v>0</v>
      </c>
      <c r="H70" s="192">
        <f t="shared" si="20"/>
        <v>0</v>
      </c>
      <c r="I70" s="192">
        <f t="shared" si="20"/>
        <v>0</v>
      </c>
      <c r="J70" s="192">
        <f t="shared" si="20"/>
        <v>0</v>
      </c>
      <c r="K70" s="192">
        <f t="shared" si="20"/>
        <v>0</v>
      </c>
      <c r="L70" s="192">
        <f t="shared" si="20"/>
        <v>0</v>
      </c>
      <c r="M70" s="188"/>
      <c r="N70" s="189">
        <v>1.2</v>
      </c>
      <c r="O70" s="190"/>
      <c r="P70" s="564" t="s">
        <v>481</v>
      </c>
    </row>
    <row r="71" spans="1:17" ht="19.5" customHeight="1">
      <c r="A71" s="194">
        <f>COUNTA($B$4:B71)</f>
        <v>67</v>
      </c>
      <c r="B71" s="195" t="s">
        <v>482</v>
      </c>
      <c r="C71" s="203">
        <f>ROUND(D71/$N$71,-1)</f>
        <v>0</v>
      </c>
      <c r="D71" s="203">
        <f>ROUND(E71/$N$71,-1)</f>
        <v>0</v>
      </c>
      <c r="E71" s="203">
        <f>ROUND(F71/$N$71,-1)</f>
        <v>0</v>
      </c>
      <c r="F71" s="203">
        <f>ROUND(G71/$N$71,-1)</f>
        <v>0</v>
      </c>
      <c r="G71" s="203">
        <f>ROUND(H71/$N$71,-1)</f>
        <v>0</v>
      </c>
      <c r="H71" s="196">
        <f>ROUND(O71,-1)</f>
        <v>0</v>
      </c>
      <c r="I71" s="203">
        <f t="shared" si="20"/>
        <v>0</v>
      </c>
      <c r="J71" s="203">
        <f t="shared" si="20"/>
        <v>0</v>
      </c>
      <c r="K71" s="203">
        <f t="shared" si="20"/>
        <v>0</v>
      </c>
      <c r="L71" s="203">
        <f t="shared" si="20"/>
        <v>0</v>
      </c>
      <c r="M71" s="201"/>
      <c r="N71" s="202">
        <v>1.05</v>
      </c>
      <c r="O71" s="200"/>
      <c r="P71" s="564"/>
    </row>
    <row r="72" spans="1:17" ht="19.5" customHeight="1">
      <c r="A72" s="194">
        <f>COUNTA($B$4:B72)</f>
        <v>68</v>
      </c>
      <c r="B72" s="195" t="s">
        <v>483</v>
      </c>
      <c r="C72" s="203">
        <f>ROUND(D72/$N$72,-1)</f>
        <v>0</v>
      </c>
      <c r="D72" s="203">
        <f>ROUND(E72/$N$72,-1)</f>
        <v>0</v>
      </c>
      <c r="E72" s="203">
        <f>ROUND(F72/$N$72,-1)</f>
        <v>0</v>
      </c>
      <c r="F72" s="196">
        <f>ROUND(O72,-1)</f>
        <v>0</v>
      </c>
      <c r="G72" s="203">
        <f t="shared" si="20"/>
        <v>0</v>
      </c>
      <c r="H72" s="203">
        <f t="shared" si="20"/>
        <v>0</v>
      </c>
      <c r="I72" s="203">
        <f t="shared" si="20"/>
        <v>0</v>
      </c>
      <c r="J72" s="203">
        <f t="shared" si="20"/>
        <v>0</v>
      </c>
      <c r="K72" s="203">
        <f t="shared" si="20"/>
        <v>0</v>
      </c>
      <c r="L72" s="203">
        <f t="shared" si="20"/>
        <v>0</v>
      </c>
      <c r="M72" s="201"/>
      <c r="N72" s="202">
        <v>1.07</v>
      </c>
      <c r="O72" s="200"/>
      <c r="P72" s="564"/>
    </row>
    <row r="73" spans="1:17" ht="19.5" customHeight="1">
      <c r="A73" s="194">
        <f>COUNTA($B$4:B73)</f>
        <v>69</v>
      </c>
      <c r="B73" s="195" t="s">
        <v>595</v>
      </c>
      <c r="C73" s="203">
        <f t="shared" ref="C73:I73" si="21">ROUND(D73/$N$73,-1)</f>
        <v>0</v>
      </c>
      <c r="D73" s="203">
        <f t="shared" si="21"/>
        <v>0</v>
      </c>
      <c r="E73" s="203">
        <f t="shared" si="21"/>
        <v>0</v>
      </c>
      <c r="F73" s="203">
        <f t="shared" si="21"/>
        <v>0</v>
      </c>
      <c r="G73" s="203">
        <f t="shared" si="21"/>
        <v>0</v>
      </c>
      <c r="H73" s="203">
        <f t="shared" si="21"/>
        <v>0</v>
      </c>
      <c r="I73" s="203">
        <f t="shared" si="21"/>
        <v>0</v>
      </c>
      <c r="J73" s="203">
        <f>ROUND(K73/$N$73,-1)</f>
        <v>0</v>
      </c>
      <c r="K73" s="196">
        <f>ROUND(O73,-1)</f>
        <v>0</v>
      </c>
      <c r="L73" s="203">
        <f t="shared" si="20"/>
        <v>0</v>
      </c>
      <c r="M73" s="201"/>
      <c r="N73" s="202">
        <v>1.05</v>
      </c>
      <c r="O73" s="200"/>
      <c r="P73" s="564"/>
    </row>
    <row r="74" spans="1:17" ht="19.5" customHeight="1">
      <c r="A74" s="194">
        <f>COUNTA($B$4:B74)</f>
        <v>70</v>
      </c>
      <c r="B74" s="195" t="s">
        <v>484</v>
      </c>
      <c r="C74" s="203">
        <f>ROUND(D74/$N$74,-1)</f>
        <v>0</v>
      </c>
      <c r="D74" s="203">
        <f>ROUND(E74/$N$74,-1)</f>
        <v>0</v>
      </c>
      <c r="E74" s="203">
        <f>ROUND(F74/$N$74,-1)</f>
        <v>0</v>
      </c>
      <c r="F74" s="196">
        <f>ROUND(O74,-1)</f>
        <v>0</v>
      </c>
      <c r="G74" s="203">
        <f t="shared" si="20"/>
        <v>0</v>
      </c>
      <c r="H74" s="203">
        <f t="shared" si="20"/>
        <v>0</v>
      </c>
      <c r="I74" s="203">
        <f t="shared" si="20"/>
        <v>0</v>
      </c>
      <c r="J74" s="203">
        <f t="shared" si="20"/>
        <v>0</v>
      </c>
      <c r="K74" s="203">
        <f t="shared" si="20"/>
        <v>0</v>
      </c>
      <c r="L74" s="203">
        <f t="shared" si="20"/>
        <v>0</v>
      </c>
      <c r="M74" s="201"/>
      <c r="N74" s="202">
        <v>1.07</v>
      </c>
      <c r="O74" s="200"/>
    </row>
    <row r="75" spans="1:17" ht="19.5" customHeight="1">
      <c r="A75" s="194">
        <f>COUNTA($B$4:B75)</f>
        <v>71</v>
      </c>
      <c r="B75" s="195" t="s">
        <v>485</v>
      </c>
      <c r="C75" s="196">
        <f>ROUND(O75,-1)</f>
        <v>0</v>
      </c>
      <c r="D75" s="203">
        <f>ROUND(C75*$N75,-1)</f>
        <v>0</v>
      </c>
      <c r="E75" s="203">
        <f>ROUND(D75*$N75,-1)</f>
        <v>0</v>
      </c>
      <c r="F75" s="203">
        <f t="shared" si="20"/>
        <v>0</v>
      </c>
      <c r="G75" s="203">
        <f t="shared" si="20"/>
        <v>0</v>
      </c>
      <c r="H75" s="203">
        <f t="shared" si="20"/>
        <v>0</v>
      </c>
      <c r="I75" s="203">
        <f t="shared" si="20"/>
        <v>0</v>
      </c>
      <c r="J75" s="203">
        <f t="shared" si="20"/>
        <v>0</v>
      </c>
      <c r="K75" s="203">
        <f t="shared" si="20"/>
        <v>0</v>
      </c>
      <c r="L75" s="203">
        <f t="shared" si="20"/>
        <v>0</v>
      </c>
      <c r="M75" s="201"/>
      <c r="N75" s="202">
        <v>1.05</v>
      </c>
      <c r="O75" s="200"/>
    </row>
    <row r="76" spans="1:17" ht="19.5" customHeight="1">
      <c r="A76" s="185">
        <f>COUNTA($B$4:B76)</f>
        <v>72</v>
      </c>
      <c r="B76" s="186" t="s">
        <v>254</v>
      </c>
      <c r="C76" s="192">
        <f>ROUND(D76/N76,-1)</f>
        <v>0</v>
      </c>
      <c r="D76" s="192">
        <f>ROUND(E76/N76,-1)</f>
        <v>0</v>
      </c>
      <c r="E76" s="193">
        <f>ROUND(O76,-1)</f>
        <v>0</v>
      </c>
      <c r="F76" s="193">
        <f t="shared" si="20"/>
        <v>0</v>
      </c>
      <c r="G76" s="193">
        <f t="shared" si="20"/>
        <v>0</v>
      </c>
      <c r="H76" s="193">
        <f t="shared" si="20"/>
        <v>0</v>
      </c>
      <c r="I76" s="193">
        <f t="shared" si="20"/>
        <v>0</v>
      </c>
      <c r="J76" s="193">
        <f t="shared" si="20"/>
        <v>0</v>
      </c>
      <c r="K76" s="193">
        <f t="shared" si="20"/>
        <v>0</v>
      </c>
      <c r="L76" s="193">
        <f t="shared" si="20"/>
        <v>0</v>
      </c>
      <c r="M76" s="201"/>
      <c r="N76" s="189">
        <v>1.2</v>
      </c>
      <c r="O76" s="190"/>
    </row>
    <row r="77" spans="1:17" ht="19.5" customHeight="1">
      <c r="A77" s="218">
        <f>COUNTA($B$4:B106)</f>
        <v>102</v>
      </c>
      <c r="B77" s="219" t="s">
        <v>489</v>
      </c>
      <c r="C77" s="220"/>
      <c r="D77" s="221">
        <f>ROUND(C77*$N77,-2)</f>
        <v>0</v>
      </c>
      <c r="E77" s="222">
        <f>ROUND(D77*$N77,-2)</f>
        <v>0</v>
      </c>
      <c r="F77" s="222">
        <f t="shared" ref="F77:L96" si="22">ROUND(E77*$N77,-1)</f>
        <v>0</v>
      </c>
      <c r="G77" s="222">
        <f t="shared" si="22"/>
        <v>0</v>
      </c>
      <c r="H77" s="222">
        <f t="shared" si="22"/>
        <v>0</v>
      </c>
      <c r="I77" s="222">
        <f t="shared" si="22"/>
        <v>0</v>
      </c>
      <c r="J77" s="222">
        <f t="shared" si="22"/>
        <v>0</v>
      </c>
      <c r="K77" s="222">
        <f t="shared" si="22"/>
        <v>0</v>
      </c>
      <c r="L77" s="222">
        <f t="shared" si="22"/>
        <v>0</v>
      </c>
      <c r="M77" s="201"/>
      <c r="N77" s="223">
        <v>1.1499999999999999</v>
      </c>
      <c r="O77" s="224"/>
      <c r="P77" s="225"/>
    </row>
    <row r="78" spans="1:17" ht="19.5" customHeight="1">
      <c r="A78" s="194">
        <f>COUNTA($B$4:B78)</f>
        <v>74</v>
      </c>
      <c r="B78" s="226" t="s">
        <v>290</v>
      </c>
      <c r="C78" s="196">
        <f>ROUND(O78,-1)</f>
        <v>0</v>
      </c>
      <c r="D78" s="203">
        <f t="shared" ref="D78:E98" si="23">ROUND(C78*$N78,-1)</f>
        <v>0</v>
      </c>
      <c r="E78" s="203">
        <f t="shared" si="23"/>
        <v>0</v>
      </c>
      <c r="F78" s="203">
        <f t="shared" si="22"/>
        <v>0</v>
      </c>
      <c r="G78" s="203">
        <f t="shared" si="22"/>
        <v>0</v>
      </c>
      <c r="H78" s="203">
        <f t="shared" si="22"/>
        <v>0</v>
      </c>
      <c r="I78" s="203">
        <f t="shared" si="22"/>
        <v>0</v>
      </c>
      <c r="J78" s="203">
        <f t="shared" si="22"/>
        <v>0</v>
      </c>
      <c r="K78" s="203">
        <f t="shared" si="22"/>
        <v>0</v>
      </c>
      <c r="L78" s="203">
        <f t="shared" si="22"/>
        <v>0</v>
      </c>
      <c r="M78" s="201"/>
      <c r="N78" s="202">
        <v>1.1200000000000001</v>
      </c>
      <c r="O78" s="200"/>
      <c r="Q78" s="171" t="s">
        <v>490</v>
      </c>
    </row>
    <row r="79" spans="1:17" ht="19.5" customHeight="1">
      <c r="A79" s="194">
        <f>COUNTA($B$4:B79)</f>
        <v>75</v>
      </c>
      <c r="B79" s="195" t="s">
        <v>266</v>
      </c>
      <c r="C79" s="196">
        <f>C80</f>
        <v>0</v>
      </c>
      <c r="D79" s="203">
        <f t="shared" si="23"/>
        <v>0</v>
      </c>
      <c r="E79" s="203">
        <f t="shared" si="23"/>
        <v>0</v>
      </c>
      <c r="F79" s="203">
        <f t="shared" si="22"/>
        <v>0</v>
      </c>
      <c r="G79" s="203">
        <f t="shared" si="22"/>
        <v>0</v>
      </c>
      <c r="H79" s="203">
        <f t="shared" si="22"/>
        <v>0</v>
      </c>
      <c r="I79" s="203">
        <f t="shared" si="22"/>
        <v>0</v>
      </c>
      <c r="J79" s="203">
        <f t="shared" si="22"/>
        <v>0</v>
      </c>
      <c r="K79" s="203">
        <f t="shared" si="22"/>
        <v>0</v>
      </c>
      <c r="L79" s="203">
        <f t="shared" si="22"/>
        <v>0</v>
      </c>
      <c r="M79" s="201"/>
      <c r="N79" s="202">
        <v>1.1100000000000001</v>
      </c>
      <c r="O79" s="200"/>
      <c r="P79" s="171" t="s">
        <v>491</v>
      </c>
    </row>
    <row r="80" spans="1:17" ht="19.5" customHeight="1">
      <c r="A80" s="194">
        <f>COUNTA($B$4:B80)</f>
        <v>76</v>
      </c>
      <c r="B80" s="195" t="s">
        <v>492</v>
      </c>
      <c r="C80" s="196">
        <f t="shared" ref="C80:C85" si="24">ROUND(O80,-1)</f>
        <v>0</v>
      </c>
      <c r="D80" s="203">
        <f t="shared" si="23"/>
        <v>0</v>
      </c>
      <c r="E80" s="203">
        <f t="shared" si="23"/>
        <v>0</v>
      </c>
      <c r="F80" s="203">
        <f t="shared" si="22"/>
        <v>0</v>
      </c>
      <c r="G80" s="203">
        <f t="shared" si="22"/>
        <v>0</v>
      </c>
      <c r="H80" s="203">
        <f t="shared" si="22"/>
        <v>0</v>
      </c>
      <c r="I80" s="203">
        <f t="shared" si="22"/>
        <v>0</v>
      </c>
      <c r="J80" s="203">
        <f t="shared" si="22"/>
        <v>0</v>
      </c>
      <c r="K80" s="203">
        <f t="shared" si="22"/>
        <v>0</v>
      </c>
      <c r="L80" s="203">
        <f t="shared" si="22"/>
        <v>0</v>
      </c>
      <c r="M80" s="201"/>
      <c r="N80" s="202">
        <v>1.07</v>
      </c>
      <c r="O80" s="200"/>
      <c r="Q80" s="171" t="s">
        <v>493</v>
      </c>
    </row>
    <row r="81" spans="1:17" ht="19.5" customHeight="1">
      <c r="A81" s="194">
        <f>COUNTA($B$4:B81)</f>
        <v>77</v>
      </c>
      <c r="B81" s="195" t="s">
        <v>494</v>
      </c>
      <c r="C81" s="196">
        <f t="shared" si="24"/>
        <v>0</v>
      </c>
      <c r="D81" s="203">
        <f t="shared" si="23"/>
        <v>0</v>
      </c>
      <c r="E81" s="203">
        <f t="shared" si="23"/>
        <v>0</v>
      </c>
      <c r="F81" s="203">
        <f t="shared" si="22"/>
        <v>0</v>
      </c>
      <c r="G81" s="203">
        <f t="shared" si="22"/>
        <v>0</v>
      </c>
      <c r="H81" s="203">
        <f t="shared" si="22"/>
        <v>0</v>
      </c>
      <c r="I81" s="203">
        <f t="shared" si="22"/>
        <v>0</v>
      </c>
      <c r="J81" s="203">
        <f t="shared" si="22"/>
        <v>0</v>
      </c>
      <c r="K81" s="203">
        <f t="shared" si="22"/>
        <v>0</v>
      </c>
      <c r="L81" s="203">
        <f t="shared" si="22"/>
        <v>0</v>
      </c>
      <c r="M81" s="201"/>
      <c r="N81" s="202">
        <v>1.05</v>
      </c>
      <c r="O81" s="200"/>
    </row>
    <row r="82" spans="1:17" ht="19.5" customHeight="1">
      <c r="A82" s="194">
        <f>COUNTA($B$4:B82)</f>
        <v>78</v>
      </c>
      <c r="B82" s="195" t="s">
        <v>495</v>
      </c>
      <c r="C82" s="196">
        <f t="shared" si="24"/>
        <v>0</v>
      </c>
      <c r="D82" s="203">
        <f t="shared" si="23"/>
        <v>0</v>
      </c>
      <c r="E82" s="203">
        <f t="shared" si="23"/>
        <v>0</v>
      </c>
      <c r="F82" s="203">
        <f t="shared" si="22"/>
        <v>0</v>
      </c>
      <c r="G82" s="203">
        <f t="shared" si="22"/>
        <v>0</v>
      </c>
      <c r="H82" s="203">
        <f t="shared" si="22"/>
        <v>0</v>
      </c>
      <c r="I82" s="203">
        <f t="shared" si="22"/>
        <v>0</v>
      </c>
      <c r="J82" s="203">
        <f t="shared" si="22"/>
        <v>0</v>
      </c>
      <c r="K82" s="203">
        <f t="shared" si="22"/>
        <v>0</v>
      </c>
      <c r="L82" s="203">
        <f t="shared" si="22"/>
        <v>0</v>
      </c>
      <c r="M82" s="201"/>
      <c r="N82" s="202">
        <v>1.07</v>
      </c>
      <c r="O82" s="200"/>
      <c r="Q82" s="171" t="s">
        <v>496</v>
      </c>
    </row>
    <row r="83" spans="1:17" ht="19.5" customHeight="1">
      <c r="A83" s="194">
        <f>COUNTA($B$4:B83)</f>
        <v>79</v>
      </c>
      <c r="B83" s="195" t="s">
        <v>497</v>
      </c>
      <c r="C83" s="196">
        <f t="shared" si="24"/>
        <v>0</v>
      </c>
      <c r="D83" s="203">
        <f t="shared" si="23"/>
        <v>0</v>
      </c>
      <c r="E83" s="203">
        <f t="shared" si="23"/>
        <v>0</v>
      </c>
      <c r="F83" s="203">
        <f t="shared" si="22"/>
        <v>0</v>
      </c>
      <c r="G83" s="203">
        <f t="shared" si="22"/>
        <v>0</v>
      </c>
      <c r="H83" s="203">
        <f t="shared" si="22"/>
        <v>0</v>
      </c>
      <c r="I83" s="203">
        <f t="shared" si="22"/>
        <v>0</v>
      </c>
      <c r="J83" s="203">
        <f t="shared" si="22"/>
        <v>0</v>
      </c>
      <c r="K83" s="203">
        <f t="shared" si="22"/>
        <v>0</v>
      </c>
      <c r="L83" s="203">
        <f t="shared" si="22"/>
        <v>0</v>
      </c>
      <c r="M83" s="201"/>
      <c r="N83" s="202">
        <v>1.05</v>
      </c>
      <c r="O83" s="200"/>
    </row>
    <row r="84" spans="1:17" ht="19.5" customHeight="1">
      <c r="A84" s="194">
        <f>COUNTA($B$4:B84)</f>
        <v>80</v>
      </c>
      <c r="B84" s="421" t="s">
        <v>659</v>
      </c>
      <c r="C84" s="196">
        <f t="shared" si="24"/>
        <v>0</v>
      </c>
      <c r="D84" s="203">
        <f t="shared" si="23"/>
        <v>0</v>
      </c>
      <c r="E84" s="203">
        <f t="shared" si="23"/>
        <v>0</v>
      </c>
      <c r="F84" s="425">
        <f t="shared" si="22"/>
        <v>0</v>
      </c>
      <c r="G84" s="203">
        <f t="shared" si="22"/>
        <v>0</v>
      </c>
      <c r="H84" s="203">
        <f t="shared" si="22"/>
        <v>0</v>
      </c>
      <c r="I84" s="203">
        <f t="shared" si="22"/>
        <v>0</v>
      </c>
      <c r="J84" s="203">
        <f t="shared" si="22"/>
        <v>0</v>
      </c>
      <c r="K84" s="203">
        <f t="shared" si="22"/>
        <v>0</v>
      </c>
      <c r="L84" s="203">
        <f t="shared" si="22"/>
        <v>0</v>
      </c>
      <c r="M84" s="419"/>
      <c r="N84" s="422">
        <v>1.1499999999999999</v>
      </c>
      <c r="O84" s="423"/>
    </row>
    <row r="85" spans="1:17" ht="19.5" customHeight="1">
      <c r="A85" s="194">
        <f>COUNTA($B$4:B85)</f>
        <v>81</v>
      </c>
      <c r="B85" s="195" t="s">
        <v>255</v>
      </c>
      <c r="C85" s="196">
        <f t="shared" si="24"/>
        <v>0</v>
      </c>
      <c r="D85" s="203">
        <f t="shared" si="23"/>
        <v>0</v>
      </c>
      <c r="E85" s="203">
        <f t="shared" si="23"/>
        <v>0</v>
      </c>
      <c r="F85" s="203">
        <f t="shared" si="22"/>
        <v>0</v>
      </c>
      <c r="G85" s="203">
        <f t="shared" si="22"/>
        <v>0</v>
      </c>
      <c r="H85" s="203">
        <f t="shared" si="22"/>
        <v>0</v>
      </c>
      <c r="I85" s="203">
        <f t="shared" si="22"/>
        <v>0</v>
      </c>
      <c r="J85" s="203">
        <f t="shared" si="22"/>
        <v>0</v>
      </c>
      <c r="K85" s="203">
        <f t="shared" si="22"/>
        <v>0</v>
      </c>
      <c r="L85" s="203">
        <f t="shared" si="22"/>
        <v>0</v>
      </c>
      <c r="M85" s="201"/>
      <c r="N85" s="202">
        <v>1.1100000000000001</v>
      </c>
      <c r="O85" s="200"/>
      <c r="Q85" s="171" t="s">
        <v>498</v>
      </c>
    </row>
    <row r="86" spans="1:17" ht="19.5" customHeight="1">
      <c r="A86" s="194"/>
      <c r="B86" s="424" t="s">
        <v>660</v>
      </c>
      <c r="C86" s="196">
        <f t="shared" ref="C86:C91" si="25">ROUND(O86,-1)</f>
        <v>0</v>
      </c>
      <c r="D86" s="203">
        <f t="shared" si="23"/>
        <v>0</v>
      </c>
      <c r="E86" s="203">
        <f t="shared" si="23"/>
        <v>0</v>
      </c>
      <c r="F86" s="203">
        <f t="shared" si="22"/>
        <v>0</v>
      </c>
      <c r="G86" s="203">
        <f t="shared" si="22"/>
        <v>0</v>
      </c>
      <c r="H86" s="203">
        <f t="shared" si="22"/>
        <v>0</v>
      </c>
      <c r="I86" s="203">
        <f t="shared" si="22"/>
        <v>0</v>
      </c>
      <c r="J86" s="203">
        <f t="shared" si="22"/>
        <v>0</v>
      </c>
      <c r="K86" s="203">
        <f t="shared" si="22"/>
        <v>0</v>
      </c>
      <c r="L86" s="203">
        <f t="shared" si="22"/>
        <v>0</v>
      </c>
      <c r="M86" s="419"/>
      <c r="N86" s="422">
        <v>1.1200000000000001</v>
      </c>
      <c r="O86" s="423"/>
    </row>
    <row r="87" spans="1:17" ht="19.5" customHeight="1">
      <c r="A87" s="194"/>
      <c r="B87" s="424" t="s">
        <v>661</v>
      </c>
      <c r="C87" s="196">
        <f t="shared" si="25"/>
        <v>0</v>
      </c>
      <c r="D87" s="203">
        <f t="shared" si="23"/>
        <v>0</v>
      </c>
      <c r="E87" s="203">
        <f t="shared" si="23"/>
        <v>0</v>
      </c>
      <c r="F87" s="203">
        <f t="shared" si="22"/>
        <v>0</v>
      </c>
      <c r="G87" s="203">
        <f t="shared" si="22"/>
        <v>0</v>
      </c>
      <c r="H87" s="203">
        <f t="shared" si="22"/>
        <v>0</v>
      </c>
      <c r="I87" s="203">
        <f t="shared" si="22"/>
        <v>0</v>
      </c>
      <c r="J87" s="203">
        <f t="shared" si="22"/>
        <v>0</v>
      </c>
      <c r="K87" s="203">
        <f t="shared" si="22"/>
        <v>0</v>
      </c>
      <c r="L87" s="203">
        <f t="shared" si="22"/>
        <v>0</v>
      </c>
      <c r="M87" s="419"/>
      <c r="N87" s="422">
        <v>1.1000000000000001</v>
      </c>
      <c r="O87" s="423"/>
    </row>
    <row r="88" spans="1:17" ht="19.5" customHeight="1">
      <c r="A88" s="194"/>
      <c r="B88" s="424" t="s">
        <v>662</v>
      </c>
      <c r="C88" s="196">
        <f t="shared" si="25"/>
        <v>0</v>
      </c>
      <c r="D88" s="203">
        <f t="shared" si="23"/>
        <v>0</v>
      </c>
      <c r="E88" s="203">
        <f t="shared" si="23"/>
        <v>0</v>
      </c>
      <c r="F88" s="203">
        <f t="shared" si="22"/>
        <v>0</v>
      </c>
      <c r="G88" s="203">
        <f t="shared" si="22"/>
        <v>0</v>
      </c>
      <c r="H88" s="203">
        <f t="shared" si="22"/>
        <v>0</v>
      </c>
      <c r="I88" s="203">
        <f t="shared" si="22"/>
        <v>0</v>
      </c>
      <c r="J88" s="203">
        <f t="shared" si="22"/>
        <v>0</v>
      </c>
      <c r="K88" s="203">
        <f t="shared" si="22"/>
        <v>0</v>
      </c>
      <c r="L88" s="203">
        <f t="shared" si="22"/>
        <v>0</v>
      </c>
      <c r="M88" s="419"/>
      <c r="N88" s="422">
        <v>1.1200000000000001</v>
      </c>
      <c r="O88" s="423"/>
    </row>
    <row r="89" spans="1:17" ht="19.5" customHeight="1">
      <c r="A89" s="194">
        <f>COUNTA($B$4:B89)</f>
        <v>85</v>
      </c>
      <c r="B89" s="424" t="s">
        <v>663</v>
      </c>
      <c r="C89" s="196">
        <f t="shared" si="25"/>
        <v>0</v>
      </c>
      <c r="D89" s="203">
        <f t="shared" si="23"/>
        <v>0</v>
      </c>
      <c r="E89" s="203">
        <f t="shared" si="23"/>
        <v>0</v>
      </c>
      <c r="F89" s="203">
        <f t="shared" si="22"/>
        <v>0</v>
      </c>
      <c r="G89" s="203">
        <f t="shared" si="22"/>
        <v>0</v>
      </c>
      <c r="H89" s="203">
        <f t="shared" si="22"/>
        <v>0</v>
      </c>
      <c r="I89" s="203">
        <f t="shared" si="22"/>
        <v>0</v>
      </c>
      <c r="J89" s="203">
        <f t="shared" si="22"/>
        <v>0</v>
      </c>
      <c r="K89" s="203">
        <f t="shared" si="22"/>
        <v>0</v>
      </c>
      <c r="L89" s="203">
        <f t="shared" si="22"/>
        <v>0</v>
      </c>
      <c r="M89" s="419"/>
      <c r="N89" s="422">
        <v>1.1000000000000001</v>
      </c>
      <c r="O89" s="423"/>
      <c r="Q89" s="171" t="s">
        <v>498</v>
      </c>
    </row>
    <row r="90" spans="1:17" ht="19.5" customHeight="1">
      <c r="A90" s="194">
        <f>COUNTA($B$4:B90)</f>
        <v>86</v>
      </c>
      <c r="B90" s="424" t="s">
        <v>664</v>
      </c>
      <c r="C90" s="196">
        <f t="shared" si="25"/>
        <v>0</v>
      </c>
      <c r="D90" s="203">
        <f t="shared" si="23"/>
        <v>0</v>
      </c>
      <c r="E90" s="203">
        <f t="shared" si="23"/>
        <v>0</v>
      </c>
      <c r="F90" s="203">
        <f t="shared" si="22"/>
        <v>0</v>
      </c>
      <c r="G90" s="203">
        <f t="shared" si="22"/>
        <v>0</v>
      </c>
      <c r="H90" s="203">
        <f t="shared" si="22"/>
        <v>0</v>
      </c>
      <c r="I90" s="203">
        <f t="shared" si="22"/>
        <v>0</v>
      </c>
      <c r="J90" s="203">
        <f t="shared" si="22"/>
        <v>0</v>
      </c>
      <c r="K90" s="203">
        <f t="shared" si="22"/>
        <v>0</v>
      </c>
      <c r="L90" s="203">
        <f t="shared" si="22"/>
        <v>0</v>
      </c>
      <c r="M90" s="419"/>
      <c r="N90" s="422">
        <v>1.1000000000000001</v>
      </c>
      <c r="O90" s="423"/>
    </row>
    <row r="91" spans="1:17" ht="19.5" customHeight="1">
      <c r="A91" s="194">
        <f>COUNTA($B$4:B91)</f>
        <v>87</v>
      </c>
      <c r="B91" s="424" t="s">
        <v>665</v>
      </c>
      <c r="C91" s="196">
        <f t="shared" si="25"/>
        <v>0</v>
      </c>
      <c r="D91" s="203">
        <f t="shared" si="23"/>
        <v>0</v>
      </c>
      <c r="E91" s="203">
        <f t="shared" si="23"/>
        <v>0</v>
      </c>
      <c r="F91" s="203">
        <f t="shared" si="22"/>
        <v>0</v>
      </c>
      <c r="G91" s="203">
        <f t="shared" si="22"/>
        <v>0</v>
      </c>
      <c r="H91" s="203">
        <f t="shared" si="22"/>
        <v>0</v>
      </c>
      <c r="I91" s="203">
        <f t="shared" si="22"/>
        <v>0</v>
      </c>
      <c r="J91" s="203">
        <f t="shared" si="22"/>
        <v>0</v>
      </c>
      <c r="K91" s="203">
        <f t="shared" si="22"/>
        <v>0</v>
      </c>
      <c r="L91" s="203">
        <f t="shared" si="22"/>
        <v>0</v>
      </c>
      <c r="M91" s="419"/>
      <c r="N91" s="422">
        <v>1.1000000000000001</v>
      </c>
      <c r="O91" s="423"/>
    </row>
    <row r="92" spans="1:17" ht="19.5" customHeight="1">
      <c r="A92" s="194">
        <f>COUNTA($B$4:B92)</f>
        <v>88</v>
      </c>
      <c r="B92" s="226" t="s">
        <v>256</v>
      </c>
      <c r="C92" s="196">
        <f>ROUND(O92,-1)</f>
        <v>0</v>
      </c>
      <c r="D92" s="203">
        <f t="shared" si="23"/>
        <v>0</v>
      </c>
      <c r="E92" s="203">
        <f t="shared" si="23"/>
        <v>0</v>
      </c>
      <c r="F92" s="203">
        <f t="shared" si="22"/>
        <v>0</v>
      </c>
      <c r="G92" s="203">
        <f t="shared" si="22"/>
        <v>0</v>
      </c>
      <c r="H92" s="203">
        <f t="shared" si="22"/>
        <v>0</v>
      </c>
      <c r="I92" s="203">
        <f t="shared" si="22"/>
        <v>0</v>
      </c>
      <c r="J92" s="203">
        <f t="shared" si="22"/>
        <v>0</v>
      </c>
      <c r="K92" s="203">
        <f t="shared" si="22"/>
        <v>0</v>
      </c>
      <c r="L92" s="203">
        <f t="shared" si="22"/>
        <v>0</v>
      </c>
      <c r="M92" s="201"/>
      <c r="N92" s="202">
        <v>1.1200000000000001</v>
      </c>
      <c r="O92" s="200"/>
      <c r="Q92" s="171" t="s">
        <v>499</v>
      </c>
    </row>
    <row r="93" spans="1:17" ht="19.5" customHeight="1">
      <c r="A93" s="194">
        <f>COUNTA($B$4:B93)</f>
        <v>89</v>
      </c>
      <c r="B93" s="195" t="s">
        <v>500</v>
      </c>
      <c r="C93" s="196"/>
      <c r="D93" s="203">
        <f t="shared" si="23"/>
        <v>0</v>
      </c>
      <c r="E93" s="203">
        <f t="shared" si="23"/>
        <v>0</v>
      </c>
      <c r="F93" s="203">
        <f t="shared" si="22"/>
        <v>0</v>
      </c>
      <c r="G93" s="203">
        <f t="shared" si="22"/>
        <v>0</v>
      </c>
      <c r="H93" s="203">
        <f t="shared" si="22"/>
        <v>0</v>
      </c>
      <c r="I93" s="203">
        <f t="shared" si="22"/>
        <v>0</v>
      </c>
      <c r="J93" s="203">
        <f t="shared" si="22"/>
        <v>0</v>
      </c>
      <c r="K93" s="203">
        <f t="shared" si="22"/>
        <v>0</v>
      </c>
      <c r="L93" s="203">
        <f t="shared" si="22"/>
        <v>0</v>
      </c>
      <c r="M93" s="201"/>
      <c r="N93" s="202">
        <v>1.1100000000000001</v>
      </c>
      <c r="O93" s="200"/>
    </row>
    <row r="94" spans="1:17" ht="19.5" customHeight="1">
      <c r="A94" s="194">
        <f>COUNTA($B$4:B94)</f>
        <v>90</v>
      </c>
      <c r="B94" s="195" t="s">
        <v>501</v>
      </c>
      <c r="C94" s="196"/>
      <c r="D94" s="203">
        <f t="shared" si="23"/>
        <v>0</v>
      </c>
      <c r="E94" s="203">
        <f t="shared" si="23"/>
        <v>0</v>
      </c>
      <c r="F94" s="203">
        <f t="shared" si="22"/>
        <v>0</v>
      </c>
      <c r="G94" s="203">
        <f t="shared" si="22"/>
        <v>0</v>
      </c>
      <c r="H94" s="203">
        <f t="shared" si="22"/>
        <v>0</v>
      </c>
      <c r="I94" s="203">
        <f t="shared" si="22"/>
        <v>0</v>
      </c>
      <c r="J94" s="203">
        <f t="shared" si="22"/>
        <v>0</v>
      </c>
      <c r="K94" s="203">
        <f t="shared" si="22"/>
        <v>0</v>
      </c>
      <c r="L94" s="203">
        <f t="shared" si="22"/>
        <v>0</v>
      </c>
      <c r="M94" s="201"/>
      <c r="N94" s="202">
        <v>1.05</v>
      </c>
      <c r="O94" s="200"/>
    </row>
    <row r="95" spans="1:17" ht="19.5" customHeight="1">
      <c r="A95" s="194">
        <f>COUNTA($B$4:B95)</f>
        <v>91</v>
      </c>
      <c r="B95" s="195" t="s">
        <v>502</v>
      </c>
      <c r="C95" s="196"/>
      <c r="D95" s="203">
        <f t="shared" si="23"/>
        <v>0</v>
      </c>
      <c r="E95" s="203">
        <f t="shared" si="23"/>
        <v>0</v>
      </c>
      <c r="F95" s="203">
        <f t="shared" si="22"/>
        <v>0</v>
      </c>
      <c r="G95" s="203">
        <f t="shared" si="22"/>
        <v>0</v>
      </c>
      <c r="H95" s="203">
        <f t="shared" si="22"/>
        <v>0</v>
      </c>
      <c r="I95" s="203">
        <f t="shared" si="22"/>
        <v>0</v>
      </c>
      <c r="J95" s="203">
        <f t="shared" si="22"/>
        <v>0</v>
      </c>
      <c r="K95" s="203">
        <f t="shared" si="22"/>
        <v>0</v>
      </c>
      <c r="L95" s="203">
        <f t="shared" si="22"/>
        <v>0</v>
      </c>
      <c r="M95" s="201"/>
      <c r="N95" s="202">
        <v>1.1000000000000001</v>
      </c>
      <c r="O95" s="200"/>
    </row>
    <row r="96" spans="1:17" ht="19.5" customHeight="1">
      <c r="A96" s="194">
        <f>COUNTA($B$4:B96)</f>
        <v>92</v>
      </c>
      <c r="B96" s="195" t="s">
        <v>274</v>
      </c>
      <c r="C96" s="196"/>
      <c r="D96" s="203">
        <f t="shared" si="23"/>
        <v>0</v>
      </c>
      <c r="E96" s="203">
        <f t="shared" si="23"/>
        <v>0</v>
      </c>
      <c r="F96" s="203">
        <f t="shared" si="22"/>
        <v>0</v>
      </c>
      <c r="G96" s="203">
        <f t="shared" si="22"/>
        <v>0</v>
      </c>
      <c r="H96" s="203">
        <f t="shared" si="22"/>
        <v>0</v>
      </c>
      <c r="I96" s="203">
        <f t="shared" si="22"/>
        <v>0</v>
      </c>
      <c r="J96" s="203">
        <f t="shared" si="22"/>
        <v>0</v>
      </c>
      <c r="K96" s="203">
        <f t="shared" si="22"/>
        <v>0</v>
      </c>
      <c r="L96" s="203">
        <f t="shared" si="22"/>
        <v>0</v>
      </c>
      <c r="M96" s="201"/>
      <c r="N96" s="202">
        <v>1.1000000000000001</v>
      </c>
      <c r="O96" s="200"/>
      <c r="Q96" s="171" t="s">
        <v>503</v>
      </c>
    </row>
    <row r="97" spans="1:17" ht="19.5" customHeight="1">
      <c r="A97" s="194">
        <f>COUNTA($B$4:B97)</f>
        <v>93</v>
      </c>
      <c r="B97" s="226" t="s">
        <v>504</v>
      </c>
      <c r="C97" s="196"/>
      <c r="D97" s="203">
        <f t="shared" si="23"/>
        <v>0</v>
      </c>
      <c r="E97" s="203">
        <f t="shared" si="23"/>
        <v>0</v>
      </c>
      <c r="F97" s="203">
        <f t="shared" ref="F97:L98" si="26">ROUND(E97*$N97,-1)</f>
        <v>0</v>
      </c>
      <c r="G97" s="203">
        <f t="shared" si="26"/>
        <v>0</v>
      </c>
      <c r="H97" s="203">
        <f t="shared" si="26"/>
        <v>0</v>
      </c>
      <c r="I97" s="203">
        <f t="shared" si="26"/>
        <v>0</v>
      </c>
      <c r="J97" s="203">
        <f t="shared" si="26"/>
        <v>0</v>
      </c>
      <c r="K97" s="203">
        <f t="shared" si="26"/>
        <v>0</v>
      </c>
      <c r="L97" s="203">
        <f t="shared" si="26"/>
        <v>0</v>
      </c>
      <c r="M97" s="201"/>
      <c r="N97" s="202">
        <v>1.1200000000000001</v>
      </c>
      <c r="O97" s="200"/>
    </row>
    <row r="98" spans="1:17" ht="19.5" customHeight="1">
      <c r="A98" s="194">
        <f>COUNTA($B$4:B98)</f>
        <v>94</v>
      </c>
      <c r="B98" s="195" t="s">
        <v>312</v>
      </c>
      <c r="C98" s="196"/>
      <c r="D98" s="203">
        <f t="shared" si="23"/>
        <v>0</v>
      </c>
      <c r="E98" s="203">
        <f t="shared" si="23"/>
        <v>0</v>
      </c>
      <c r="F98" s="203">
        <f t="shared" si="26"/>
        <v>0</v>
      </c>
      <c r="G98" s="203">
        <f t="shared" si="26"/>
        <v>0</v>
      </c>
      <c r="H98" s="203">
        <f t="shared" si="26"/>
        <v>0</v>
      </c>
      <c r="I98" s="203">
        <f t="shared" si="26"/>
        <v>0</v>
      </c>
      <c r="J98" s="203">
        <f t="shared" si="26"/>
        <v>0</v>
      </c>
      <c r="K98" s="203">
        <f t="shared" si="26"/>
        <v>0</v>
      </c>
      <c r="L98" s="203">
        <f t="shared" si="26"/>
        <v>0</v>
      </c>
      <c r="M98" s="201"/>
      <c r="N98" s="202">
        <v>1.1100000000000001</v>
      </c>
      <c r="O98" s="200"/>
      <c r="Q98" s="171" t="s">
        <v>505</v>
      </c>
    </row>
    <row r="99" spans="1:17" ht="19.5" customHeight="1">
      <c r="A99" s="194">
        <f>COUNTA($B$4:B99)</f>
        <v>95</v>
      </c>
      <c r="B99" s="195" t="s">
        <v>506</v>
      </c>
      <c r="C99" s="196"/>
      <c r="D99" s="203">
        <f t="shared" ref="D99:L113" si="27">ROUND(C99*$N99,-1)</f>
        <v>0</v>
      </c>
      <c r="E99" s="203">
        <f t="shared" si="27"/>
        <v>0</v>
      </c>
      <c r="F99" s="203">
        <f t="shared" si="27"/>
        <v>0</v>
      </c>
      <c r="G99" s="203">
        <f t="shared" si="27"/>
        <v>0</v>
      </c>
      <c r="H99" s="203">
        <f t="shared" si="27"/>
        <v>0</v>
      </c>
      <c r="I99" s="203">
        <f t="shared" si="27"/>
        <v>0</v>
      </c>
      <c r="J99" s="203">
        <f t="shared" si="27"/>
        <v>0</v>
      </c>
      <c r="K99" s="203">
        <f t="shared" si="27"/>
        <v>0</v>
      </c>
      <c r="L99" s="203">
        <f t="shared" si="27"/>
        <v>0</v>
      </c>
      <c r="M99" s="201"/>
      <c r="N99" s="202">
        <v>1.1100000000000001</v>
      </c>
      <c r="O99" s="200"/>
    </row>
    <row r="100" spans="1:17" ht="19.5" customHeight="1">
      <c r="A100" s="194">
        <f>COUNTA($B$4:B100)</f>
        <v>96</v>
      </c>
      <c r="B100" s="195" t="s">
        <v>507</v>
      </c>
      <c r="C100" s="196"/>
      <c r="D100" s="203">
        <f t="shared" si="27"/>
        <v>0</v>
      </c>
      <c r="E100" s="203">
        <f t="shared" si="27"/>
        <v>0</v>
      </c>
      <c r="F100" s="203">
        <f t="shared" si="27"/>
        <v>0</v>
      </c>
      <c r="G100" s="203">
        <f t="shared" si="27"/>
        <v>0</v>
      </c>
      <c r="H100" s="203">
        <f t="shared" si="27"/>
        <v>0</v>
      </c>
      <c r="I100" s="203">
        <f t="shared" si="27"/>
        <v>0</v>
      </c>
      <c r="J100" s="203">
        <f t="shared" si="27"/>
        <v>0</v>
      </c>
      <c r="K100" s="203">
        <f t="shared" si="27"/>
        <v>0</v>
      </c>
      <c r="L100" s="203">
        <f t="shared" si="27"/>
        <v>0</v>
      </c>
      <c r="M100" s="201"/>
      <c r="N100" s="202">
        <v>1.1000000000000001</v>
      </c>
      <c r="O100" s="200"/>
    </row>
    <row r="101" spans="1:17" ht="19.5" customHeight="1">
      <c r="A101" s="194">
        <f>COUNTA($B$4:B101)</f>
        <v>97</v>
      </c>
      <c r="B101" s="195" t="s">
        <v>508</v>
      </c>
      <c r="C101" s="196"/>
      <c r="D101" s="203">
        <f t="shared" si="27"/>
        <v>0</v>
      </c>
      <c r="E101" s="203">
        <f t="shared" si="27"/>
        <v>0</v>
      </c>
      <c r="F101" s="203">
        <f t="shared" si="27"/>
        <v>0</v>
      </c>
      <c r="G101" s="203">
        <f t="shared" si="27"/>
        <v>0</v>
      </c>
      <c r="H101" s="203">
        <f t="shared" si="27"/>
        <v>0</v>
      </c>
      <c r="I101" s="203">
        <f t="shared" si="27"/>
        <v>0</v>
      </c>
      <c r="J101" s="203">
        <f t="shared" si="27"/>
        <v>0</v>
      </c>
      <c r="K101" s="203">
        <f t="shared" si="27"/>
        <v>0</v>
      </c>
      <c r="L101" s="203">
        <f t="shared" si="27"/>
        <v>0</v>
      </c>
      <c r="M101" s="201"/>
      <c r="N101" s="202">
        <v>1.1100000000000001</v>
      </c>
      <c r="O101" s="200"/>
    </row>
    <row r="102" spans="1:17" ht="19.5" customHeight="1">
      <c r="A102" s="194">
        <f>COUNTA($B$4:B102)</f>
        <v>98</v>
      </c>
      <c r="B102" s="195" t="s">
        <v>509</v>
      </c>
      <c r="C102" s="196"/>
      <c r="D102" s="203">
        <f t="shared" si="27"/>
        <v>0</v>
      </c>
      <c r="E102" s="203">
        <f t="shared" si="27"/>
        <v>0</v>
      </c>
      <c r="F102" s="203">
        <f t="shared" si="27"/>
        <v>0</v>
      </c>
      <c r="G102" s="203">
        <f t="shared" si="27"/>
        <v>0</v>
      </c>
      <c r="H102" s="203">
        <f t="shared" si="27"/>
        <v>0</v>
      </c>
      <c r="I102" s="203">
        <f t="shared" si="27"/>
        <v>0</v>
      </c>
      <c r="J102" s="203">
        <f t="shared" si="27"/>
        <v>0</v>
      </c>
      <c r="K102" s="203">
        <f t="shared" si="27"/>
        <v>0</v>
      </c>
      <c r="L102" s="203">
        <f t="shared" si="27"/>
        <v>0</v>
      </c>
      <c r="M102" s="201"/>
      <c r="N102" s="202">
        <v>1.1000000000000001</v>
      </c>
      <c r="O102" s="200"/>
    </row>
    <row r="103" spans="1:17" ht="19.5" customHeight="1">
      <c r="A103" s="194">
        <f>COUNTA($B$4:B103)</f>
        <v>99</v>
      </c>
      <c r="B103" s="195" t="s">
        <v>283</v>
      </c>
      <c r="C103" s="196"/>
      <c r="D103" s="203">
        <f t="shared" si="27"/>
        <v>0</v>
      </c>
      <c r="E103" s="203">
        <f t="shared" si="27"/>
        <v>0</v>
      </c>
      <c r="F103" s="203">
        <f t="shared" si="27"/>
        <v>0</v>
      </c>
      <c r="G103" s="203">
        <f t="shared" si="27"/>
        <v>0</v>
      </c>
      <c r="H103" s="203">
        <f t="shared" si="27"/>
        <v>0</v>
      </c>
      <c r="I103" s="203">
        <f t="shared" si="27"/>
        <v>0</v>
      </c>
      <c r="J103" s="203">
        <f t="shared" si="27"/>
        <v>0</v>
      </c>
      <c r="K103" s="203">
        <f t="shared" si="27"/>
        <v>0</v>
      </c>
      <c r="L103" s="203">
        <f t="shared" si="27"/>
        <v>0</v>
      </c>
      <c r="M103" s="201"/>
      <c r="N103" s="202">
        <v>1.1100000000000001</v>
      </c>
      <c r="O103" s="200"/>
      <c r="Q103" s="171" t="s">
        <v>510</v>
      </c>
    </row>
    <row r="104" spans="1:17" ht="19.5" customHeight="1">
      <c r="A104" s="194"/>
      <c r="B104" s="195" t="s">
        <v>285</v>
      </c>
      <c r="C104" s="196"/>
      <c r="D104" s="203">
        <f t="shared" si="27"/>
        <v>0</v>
      </c>
      <c r="E104" s="203">
        <f t="shared" si="27"/>
        <v>0</v>
      </c>
      <c r="F104" s="203">
        <f t="shared" si="27"/>
        <v>0</v>
      </c>
      <c r="G104" s="203">
        <f t="shared" si="27"/>
        <v>0</v>
      </c>
      <c r="H104" s="203">
        <f t="shared" si="27"/>
        <v>0</v>
      </c>
      <c r="I104" s="203">
        <f t="shared" si="27"/>
        <v>0</v>
      </c>
      <c r="J104" s="203">
        <f t="shared" si="27"/>
        <v>0</v>
      </c>
      <c r="K104" s="203">
        <f t="shared" si="27"/>
        <v>0</v>
      </c>
      <c r="L104" s="203">
        <f t="shared" si="27"/>
        <v>0</v>
      </c>
      <c r="M104" s="201"/>
      <c r="N104" s="202">
        <v>1.1100000000000001</v>
      </c>
      <c r="O104" s="200"/>
      <c r="Q104" s="171" t="s">
        <v>511</v>
      </c>
    </row>
    <row r="105" spans="1:17" ht="19.5" customHeight="1">
      <c r="A105" s="194">
        <f>COUNTA($B$4:B105)</f>
        <v>101</v>
      </c>
      <c r="B105" s="195" t="s">
        <v>512</v>
      </c>
      <c r="C105" s="196">
        <f>ROUND(O105,-1)</f>
        <v>0</v>
      </c>
      <c r="D105" s="203">
        <f t="shared" si="27"/>
        <v>0</v>
      </c>
      <c r="E105" s="203">
        <f t="shared" si="27"/>
        <v>0</v>
      </c>
      <c r="F105" s="203">
        <f t="shared" si="27"/>
        <v>0</v>
      </c>
      <c r="G105" s="203">
        <f t="shared" si="27"/>
        <v>0</v>
      </c>
      <c r="H105" s="203">
        <f t="shared" si="27"/>
        <v>0</v>
      </c>
      <c r="I105" s="203">
        <f t="shared" si="27"/>
        <v>0</v>
      </c>
      <c r="J105" s="203">
        <f t="shared" si="27"/>
        <v>0</v>
      </c>
      <c r="K105" s="203">
        <f t="shared" si="27"/>
        <v>0</v>
      </c>
      <c r="L105" s="203">
        <f t="shared" si="27"/>
        <v>0</v>
      </c>
      <c r="M105" s="201"/>
      <c r="N105" s="202">
        <v>1.1000000000000001</v>
      </c>
      <c r="O105" s="200"/>
    </row>
    <row r="106" spans="1:17" ht="19.5" customHeight="1">
      <c r="A106" s="194">
        <f>COUNTA($B$4:B106)</f>
        <v>102</v>
      </c>
      <c r="B106" s="195" t="s">
        <v>287</v>
      </c>
      <c r="C106" s="196">
        <f>ROUND(O106,-1)</f>
        <v>0</v>
      </c>
      <c r="D106" s="203">
        <f t="shared" si="27"/>
        <v>0</v>
      </c>
      <c r="E106" s="203">
        <f t="shared" si="27"/>
        <v>0</v>
      </c>
      <c r="F106" s="203">
        <f t="shared" si="27"/>
        <v>0</v>
      </c>
      <c r="G106" s="203">
        <f t="shared" si="27"/>
        <v>0</v>
      </c>
      <c r="H106" s="203">
        <f t="shared" si="27"/>
        <v>0</v>
      </c>
      <c r="I106" s="203">
        <f t="shared" si="27"/>
        <v>0</v>
      </c>
      <c r="J106" s="203">
        <f t="shared" si="27"/>
        <v>0</v>
      </c>
      <c r="K106" s="203">
        <f t="shared" si="27"/>
        <v>0</v>
      </c>
      <c r="L106" s="203">
        <f t="shared" si="27"/>
        <v>0</v>
      </c>
      <c r="M106" s="201"/>
      <c r="N106" s="202">
        <v>1.1000000000000001</v>
      </c>
      <c r="O106" s="200"/>
      <c r="Q106" s="171" t="s">
        <v>513</v>
      </c>
    </row>
    <row r="107" spans="1:17">
      <c r="L107" s="171">
        <f t="shared" si="27"/>
        <v>0</v>
      </c>
    </row>
    <row r="108" spans="1:17" ht="19.5" customHeight="1">
      <c r="A108" s="218">
        <f>COUNTA($B$4:B108)</f>
        <v>103</v>
      </c>
      <c r="B108" s="219" t="s">
        <v>514</v>
      </c>
      <c r="C108" s="220">
        <f>ROUND(D108/N108,-1)</f>
        <v>0</v>
      </c>
      <c r="D108" s="221">
        <f>ROUND(E108/N108,-1)</f>
        <v>0</v>
      </c>
      <c r="E108" s="222">
        <f>ROUND(O108,-1)</f>
        <v>0</v>
      </c>
      <c r="F108" s="222">
        <f t="shared" ref="F108:L121" si="28">ROUND(E108*$N108,-1)</f>
        <v>0</v>
      </c>
      <c r="G108" s="222">
        <f t="shared" si="28"/>
        <v>0</v>
      </c>
      <c r="H108" s="222">
        <f t="shared" si="28"/>
        <v>0</v>
      </c>
      <c r="I108" s="222">
        <f t="shared" si="28"/>
        <v>0</v>
      </c>
      <c r="J108" s="222">
        <f t="shared" si="28"/>
        <v>0</v>
      </c>
      <c r="K108" s="222">
        <f t="shared" si="28"/>
        <v>0</v>
      </c>
      <c r="L108" s="222">
        <f t="shared" si="27"/>
        <v>0</v>
      </c>
      <c r="M108" s="201"/>
      <c r="N108" s="223">
        <v>1.1499999999999999</v>
      </c>
      <c r="O108" s="224"/>
    </row>
    <row r="109" spans="1:17" ht="21" customHeight="1">
      <c r="A109" s="194">
        <f>COUNTA($B$4:B109)</f>
        <v>104</v>
      </c>
      <c r="B109" s="226" t="s">
        <v>250</v>
      </c>
      <c r="C109" s="196">
        <f>ROUND(O109,-1)</f>
        <v>0</v>
      </c>
      <c r="D109" s="203">
        <f>ROUND(C109*$N109,-1)</f>
        <v>0</v>
      </c>
      <c r="E109" s="203">
        <f>ROUND(D109*$N109,-1)</f>
        <v>0</v>
      </c>
      <c r="F109" s="203">
        <f t="shared" si="28"/>
        <v>0</v>
      </c>
      <c r="G109" s="203">
        <f t="shared" si="28"/>
        <v>0</v>
      </c>
      <c r="H109" s="203">
        <f t="shared" si="28"/>
        <v>0</v>
      </c>
      <c r="I109" s="203">
        <f t="shared" si="28"/>
        <v>0</v>
      </c>
      <c r="J109" s="203">
        <f t="shared" si="28"/>
        <v>0</v>
      </c>
      <c r="K109" s="203">
        <f t="shared" si="28"/>
        <v>0</v>
      </c>
      <c r="L109" s="203">
        <f t="shared" si="27"/>
        <v>0</v>
      </c>
      <c r="M109" s="201"/>
      <c r="N109" s="202">
        <v>1.1200000000000001</v>
      </c>
      <c r="O109" s="200"/>
      <c r="Q109" s="171" t="s">
        <v>192</v>
      </c>
    </row>
    <row r="110" spans="1:17" ht="21" customHeight="1">
      <c r="A110" s="194"/>
      <c r="B110" s="195" t="s">
        <v>515</v>
      </c>
      <c r="C110" s="196"/>
      <c r="D110" s="203"/>
      <c r="E110" s="203"/>
      <c r="F110" s="203">
        <f t="shared" si="28"/>
        <v>0</v>
      </c>
      <c r="G110" s="203">
        <f t="shared" si="28"/>
        <v>0</v>
      </c>
      <c r="H110" s="203">
        <f t="shared" si="28"/>
        <v>0</v>
      </c>
      <c r="I110" s="203">
        <f t="shared" si="28"/>
        <v>0</v>
      </c>
      <c r="J110" s="203">
        <f t="shared" si="28"/>
        <v>0</v>
      </c>
      <c r="K110" s="203">
        <f t="shared" si="28"/>
        <v>0</v>
      </c>
      <c r="L110" s="203">
        <f t="shared" si="27"/>
        <v>0</v>
      </c>
      <c r="M110" s="201"/>
      <c r="N110" s="202"/>
      <c r="O110" s="200"/>
    </row>
    <row r="111" spans="1:17" ht="21" customHeight="1">
      <c r="A111" s="194">
        <f>COUNTA($B$4:B111)</f>
        <v>106</v>
      </c>
      <c r="B111" s="195" t="s">
        <v>516</v>
      </c>
      <c r="C111" s="196">
        <f t="shared" ref="C111:C121" si="29">ROUND(O111,-1)</f>
        <v>0</v>
      </c>
      <c r="D111" s="203">
        <f>ROUND(C111*$N111,-1)</f>
        <v>0</v>
      </c>
      <c r="E111" s="203">
        <f>ROUND(D111*$N111,-1)</f>
        <v>0</v>
      </c>
      <c r="F111" s="203">
        <f t="shared" si="28"/>
        <v>0</v>
      </c>
      <c r="G111" s="203">
        <f t="shared" si="28"/>
        <v>0</v>
      </c>
      <c r="H111" s="203">
        <f t="shared" si="28"/>
        <v>0</v>
      </c>
      <c r="I111" s="203">
        <f t="shared" si="28"/>
        <v>0</v>
      </c>
      <c r="J111" s="203">
        <f t="shared" si="28"/>
        <v>0</v>
      </c>
      <c r="K111" s="203">
        <f t="shared" si="28"/>
        <v>0</v>
      </c>
      <c r="L111" s="203">
        <f t="shared" si="27"/>
        <v>0</v>
      </c>
      <c r="M111" s="201"/>
      <c r="N111" s="202">
        <v>1.1000000000000001</v>
      </c>
      <c r="O111" s="200"/>
    </row>
    <row r="112" spans="1:17" ht="21" customHeight="1">
      <c r="A112" s="194"/>
      <c r="B112" s="195" t="s">
        <v>517</v>
      </c>
      <c r="C112" s="196"/>
      <c r="D112" s="203"/>
      <c r="E112" s="203"/>
      <c r="F112" s="203">
        <f t="shared" si="28"/>
        <v>0</v>
      </c>
      <c r="G112" s="203">
        <f t="shared" si="28"/>
        <v>0</v>
      </c>
      <c r="H112" s="203">
        <f t="shared" si="28"/>
        <v>0</v>
      </c>
      <c r="I112" s="203">
        <f t="shared" si="28"/>
        <v>0</v>
      </c>
      <c r="J112" s="203">
        <f t="shared" si="28"/>
        <v>0</v>
      </c>
      <c r="K112" s="203">
        <f t="shared" si="28"/>
        <v>0</v>
      </c>
      <c r="L112" s="203">
        <f t="shared" si="27"/>
        <v>0</v>
      </c>
      <c r="M112" s="201"/>
      <c r="N112" s="202"/>
      <c r="O112" s="200"/>
    </row>
    <row r="113" spans="1:17" ht="21" customHeight="1">
      <c r="A113" s="194">
        <f>COUNTA($B$4:B113)</f>
        <v>108</v>
      </c>
      <c r="B113" s="195" t="s">
        <v>518</v>
      </c>
      <c r="C113" s="196">
        <f t="shared" si="29"/>
        <v>0</v>
      </c>
      <c r="D113" s="203">
        <f t="shared" ref="D113:E116" si="30">ROUND(C113*$N113,-1)</f>
        <v>0</v>
      </c>
      <c r="E113" s="203">
        <f t="shared" si="30"/>
        <v>0</v>
      </c>
      <c r="F113" s="203">
        <f t="shared" si="28"/>
        <v>0</v>
      </c>
      <c r="G113" s="203">
        <f t="shared" si="28"/>
        <v>0</v>
      </c>
      <c r="H113" s="203">
        <f t="shared" si="28"/>
        <v>0</v>
      </c>
      <c r="I113" s="203">
        <f t="shared" si="28"/>
        <v>0</v>
      </c>
      <c r="J113" s="203">
        <f t="shared" si="28"/>
        <v>0</v>
      </c>
      <c r="K113" s="203">
        <f t="shared" si="28"/>
        <v>0</v>
      </c>
      <c r="L113" s="203">
        <f t="shared" si="27"/>
        <v>0</v>
      </c>
      <c r="M113" s="201"/>
      <c r="N113" s="202">
        <v>1.1000000000000001</v>
      </c>
      <c r="O113" s="200"/>
    </row>
    <row r="114" spans="1:17" ht="21" customHeight="1">
      <c r="A114" s="194">
        <f>COUNTA($B$4:B114)</f>
        <v>109</v>
      </c>
      <c r="B114" s="195" t="s">
        <v>519</v>
      </c>
      <c r="C114" s="196">
        <f t="shared" si="29"/>
        <v>0</v>
      </c>
      <c r="D114" s="203">
        <f t="shared" si="30"/>
        <v>0</v>
      </c>
      <c r="E114" s="203">
        <f t="shared" si="30"/>
        <v>0</v>
      </c>
      <c r="F114" s="203">
        <f t="shared" si="28"/>
        <v>0</v>
      </c>
      <c r="G114" s="203">
        <f t="shared" si="28"/>
        <v>0</v>
      </c>
      <c r="H114" s="203">
        <f t="shared" si="28"/>
        <v>0</v>
      </c>
      <c r="I114" s="203">
        <f t="shared" si="28"/>
        <v>0</v>
      </c>
      <c r="J114" s="203">
        <f t="shared" si="28"/>
        <v>0</v>
      </c>
      <c r="K114" s="203">
        <f t="shared" si="28"/>
        <v>0</v>
      </c>
      <c r="L114" s="203">
        <f t="shared" si="28"/>
        <v>0</v>
      </c>
      <c r="M114" s="201"/>
      <c r="N114" s="202"/>
      <c r="O114" s="200"/>
    </row>
    <row r="115" spans="1:17" ht="21" customHeight="1">
      <c r="A115" s="194"/>
      <c r="B115" s="226" t="s">
        <v>520</v>
      </c>
      <c r="C115" s="196">
        <f t="shared" si="29"/>
        <v>0</v>
      </c>
      <c r="D115" s="203">
        <f t="shared" si="30"/>
        <v>0</v>
      </c>
      <c r="E115" s="203">
        <f t="shared" si="30"/>
        <v>0</v>
      </c>
      <c r="F115" s="203">
        <f t="shared" si="28"/>
        <v>0</v>
      </c>
      <c r="G115" s="203">
        <f t="shared" si="28"/>
        <v>0</v>
      </c>
      <c r="H115" s="203">
        <f t="shared" si="28"/>
        <v>0</v>
      </c>
      <c r="I115" s="203">
        <f t="shared" si="28"/>
        <v>0</v>
      </c>
      <c r="J115" s="203">
        <f t="shared" si="28"/>
        <v>0</v>
      </c>
      <c r="K115" s="203">
        <f t="shared" si="28"/>
        <v>0</v>
      </c>
      <c r="L115" s="203">
        <f t="shared" si="28"/>
        <v>0</v>
      </c>
      <c r="M115" s="201"/>
      <c r="N115" s="202">
        <v>1.1200000000000001</v>
      </c>
      <c r="O115" s="200"/>
      <c r="P115" s="227" t="s">
        <v>566</v>
      </c>
    </row>
    <row r="116" spans="1:17" ht="21" customHeight="1">
      <c r="A116" s="194"/>
      <c r="B116" s="195" t="s">
        <v>521</v>
      </c>
      <c r="C116" s="196">
        <f t="shared" si="29"/>
        <v>0</v>
      </c>
      <c r="D116" s="203">
        <f t="shared" si="30"/>
        <v>0</v>
      </c>
      <c r="E116" s="203">
        <f t="shared" si="30"/>
        <v>0</v>
      </c>
      <c r="F116" s="203">
        <f t="shared" si="28"/>
        <v>0</v>
      </c>
      <c r="G116" s="203">
        <f t="shared" si="28"/>
        <v>0</v>
      </c>
      <c r="H116" s="203">
        <f t="shared" si="28"/>
        <v>0</v>
      </c>
      <c r="I116" s="203">
        <f t="shared" si="28"/>
        <v>0</v>
      </c>
      <c r="J116" s="203">
        <f t="shared" si="28"/>
        <v>0</v>
      </c>
      <c r="K116" s="203">
        <f t="shared" si="28"/>
        <v>0</v>
      </c>
      <c r="L116" s="203">
        <f t="shared" si="28"/>
        <v>0</v>
      </c>
      <c r="M116" s="201"/>
      <c r="N116" s="202">
        <v>1.1100000000000001</v>
      </c>
      <c r="O116" s="200"/>
      <c r="P116" s="227" t="s">
        <v>564</v>
      </c>
    </row>
    <row r="117" spans="1:17" ht="21" customHeight="1">
      <c r="A117" s="194"/>
      <c r="B117" s="195" t="s">
        <v>522</v>
      </c>
      <c r="C117" s="196"/>
      <c r="D117" s="203"/>
      <c r="E117" s="203"/>
      <c r="F117" s="203">
        <f t="shared" si="28"/>
        <v>0</v>
      </c>
      <c r="G117" s="203">
        <f t="shared" si="28"/>
        <v>0</v>
      </c>
      <c r="H117" s="203">
        <f t="shared" si="28"/>
        <v>0</v>
      </c>
      <c r="I117" s="203">
        <f t="shared" si="28"/>
        <v>0</v>
      </c>
      <c r="J117" s="203">
        <f t="shared" si="28"/>
        <v>0</v>
      </c>
      <c r="K117" s="203">
        <f t="shared" si="28"/>
        <v>0</v>
      </c>
      <c r="L117" s="203">
        <f t="shared" si="28"/>
        <v>0</v>
      </c>
      <c r="M117" s="201"/>
      <c r="N117" s="202"/>
      <c r="O117" s="200"/>
      <c r="P117" s="227" t="s">
        <v>565</v>
      </c>
    </row>
    <row r="118" spans="1:17" ht="21" customHeight="1">
      <c r="A118" s="194">
        <f>COUNTA($B$4:B120)</f>
        <v>115</v>
      </c>
      <c r="B118" s="195" t="s">
        <v>523</v>
      </c>
      <c r="C118" s="196">
        <f t="shared" si="29"/>
        <v>0</v>
      </c>
      <c r="D118" s="203">
        <f t="shared" ref="D118:E121" si="31">ROUND(C118*$N118,-1)</f>
        <v>0</v>
      </c>
      <c r="E118" s="203">
        <f t="shared" si="31"/>
        <v>0</v>
      </c>
      <c r="F118" s="203">
        <f t="shared" si="28"/>
        <v>0</v>
      </c>
      <c r="G118" s="203">
        <f t="shared" si="28"/>
        <v>0</v>
      </c>
      <c r="H118" s="203">
        <f t="shared" si="28"/>
        <v>0</v>
      </c>
      <c r="I118" s="203">
        <f t="shared" si="28"/>
        <v>0</v>
      </c>
      <c r="J118" s="203">
        <f t="shared" si="28"/>
        <v>0</v>
      </c>
      <c r="K118" s="203">
        <f t="shared" si="28"/>
        <v>0</v>
      </c>
      <c r="L118" s="203">
        <f t="shared" si="28"/>
        <v>0</v>
      </c>
      <c r="M118" s="201"/>
      <c r="N118" s="202">
        <v>1.05</v>
      </c>
      <c r="O118" s="200"/>
    </row>
    <row r="119" spans="1:17" ht="21" customHeight="1">
      <c r="A119" s="194"/>
      <c r="B119" s="195" t="s">
        <v>261</v>
      </c>
      <c r="C119" s="196">
        <f t="shared" si="29"/>
        <v>0</v>
      </c>
      <c r="D119" s="203">
        <f t="shared" si="31"/>
        <v>0</v>
      </c>
      <c r="E119" s="203">
        <f t="shared" si="31"/>
        <v>0</v>
      </c>
      <c r="F119" s="203">
        <f t="shared" si="28"/>
        <v>0</v>
      </c>
      <c r="G119" s="203">
        <f t="shared" si="28"/>
        <v>0</v>
      </c>
      <c r="H119" s="203">
        <f t="shared" si="28"/>
        <v>0</v>
      </c>
      <c r="I119" s="203">
        <f t="shared" si="28"/>
        <v>0</v>
      </c>
      <c r="J119" s="203">
        <f t="shared" si="28"/>
        <v>0</v>
      </c>
      <c r="K119" s="203">
        <f t="shared" si="28"/>
        <v>0</v>
      </c>
      <c r="L119" s="203">
        <f t="shared" si="28"/>
        <v>0</v>
      </c>
      <c r="M119" s="201"/>
      <c r="N119" s="202">
        <v>1.1100000000000001</v>
      </c>
      <c r="O119" s="200"/>
    </row>
    <row r="120" spans="1:17" ht="21" customHeight="1">
      <c r="A120" s="194"/>
      <c r="B120" s="195" t="s">
        <v>524</v>
      </c>
      <c r="C120" s="196">
        <f t="shared" si="29"/>
        <v>0</v>
      </c>
      <c r="D120" s="203">
        <f t="shared" si="31"/>
        <v>0</v>
      </c>
      <c r="E120" s="203">
        <f t="shared" si="31"/>
        <v>0</v>
      </c>
      <c r="F120" s="203">
        <f t="shared" si="28"/>
        <v>0</v>
      </c>
      <c r="G120" s="203">
        <f t="shared" si="28"/>
        <v>0</v>
      </c>
      <c r="H120" s="203">
        <f t="shared" si="28"/>
        <v>0</v>
      </c>
      <c r="I120" s="203">
        <f t="shared" si="28"/>
        <v>0</v>
      </c>
      <c r="J120" s="203">
        <f t="shared" si="28"/>
        <v>0</v>
      </c>
      <c r="K120" s="203">
        <f t="shared" si="28"/>
        <v>0</v>
      </c>
      <c r="L120" s="203">
        <f t="shared" si="28"/>
        <v>0</v>
      </c>
      <c r="M120" s="201"/>
      <c r="N120" s="202"/>
      <c r="O120" s="200"/>
    </row>
    <row r="121" spans="1:17" ht="21" customHeight="1">
      <c r="A121" s="194">
        <f>COUNTA($B$4:B121)</f>
        <v>116</v>
      </c>
      <c r="B121" s="195" t="s">
        <v>525</v>
      </c>
      <c r="C121" s="196">
        <f t="shared" si="29"/>
        <v>0</v>
      </c>
      <c r="D121" s="203">
        <f t="shared" si="31"/>
        <v>0</v>
      </c>
      <c r="E121" s="203">
        <f t="shared" si="31"/>
        <v>0</v>
      </c>
      <c r="F121" s="203">
        <f t="shared" si="28"/>
        <v>0</v>
      </c>
      <c r="G121" s="203">
        <f t="shared" si="28"/>
        <v>0</v>
      </c>
      <c r="H121" s="203">
        <f t="shared" si="28"/>
        <v>0</v>
      </c>
      <c r="I121" s="203">
        <f t="shared" si="28"/>
        <v>0</v>
      </c>
      <c r="J121" s="203">
        <f t="shared" si="28"/>
        <v>0</v>
      </c>
      <c r="K121" s="203">
        <f t="shared" si="28"/>
        <v>0</v>
      </c>
      <c r="L121" s="203">
        <f t="shared" si="28"/>
        <v>0</v>
      </c>
      <c r="M121" s="201"/>
      <c r="N121" s="202"/>
      <c r="O121" s="200"/>
      <c r="Q121" s="227" t="s">
        <v>566</v>
      </c>
    </row>
    <row r="123" spans="1:17">
      <c r="A123" s="185">
        <v>70</v>
      </c>
      <c r="B123" s="186" t="s">
        <v>254</v>
      </c>
      <c r="C123" s="430"/>
      <c r="D123" s="430"/>
      <c r="E123" s="428"/>
      <c r="F123" s="429"/>
      <c r="G123" s="429"/>
      <c r="H123" s="429"/>
      <c r="I123" s="429"/>
      <c r="J123" s="429"/>
      <c r="K123" s="429"/>
      <c r="L123" s="429"/>
      <c r="M123" s="419"/>
      <c r="N123" s="422">
        <v>1.2</v>
      </c>
      <c r="O123" s="423"/>
    </row>
    <row r="124" spans="1:17">
      <c r="A124" s="185"/>
      <c r="B124" s="431" t="s">
        <v>703</v>
      </c>
      <c r="C124" s="430"/>
      <c r="D124" s="430"/>
      <c r="E124" s="428"/>
      <c r="F124" s="429"/>
      <c r="G124" s="429"/>
      <c r="H124" s="429"/>
      <c r="I124" s="429"/>
      <c r="J124" s="429"/>
      <c r="K124" s="429"/>
      <c r="L124" s="429"/>
      <c r="M124" s="419"/>
      <c r="N124" s="422">
        <v>1.17</v>
      </c>
      <c r="O124" s="423"/>
    </row>
    <row r="125" spans="1:17">
      <c r="A125" s="185"/>
      <c r="B125" s="421" t="s">
        <v>659</v>
      </c>
      <c r="C125" s="428"/>
      <c r="D125" s="429"/>
      <c r="E125" s="429"/>
      <c r="F125" s="432"/>
      <c r="G125" s="429"/>
      <c r="H125" s="429"/>
      <c r="I125" s="429"/>
      <c r="J125" s="429"/>
      <c r="K125" s="429"/>
      <c r="L125" s="429"/>
      <c r="M125" s="419"/>
      <c r="N125" s="422">
        <v>1.1499999999999999</v>
      </c>
      <c r="O125" s="423"/>
    </row>
    <row r="126" spans="1:17">
      <c r="A126" s="185"/>
      <c r="B126" s="424" t="s">
        <v>660</v>
      </c>
      <c r="C126" s="428"/>
      <c r="D126" s="429"/>
      <c r="E126" s="429"/>
      <c r="F126" s="429"/>
      <c r="G126" s="429"/>
      <c r="H126" s="429"/>
      <c r="I126" s="429"/>
      <c r="J126" s="429"/>
      <c r="K126" s="429"/>
      <c r="L126" s="429"/>
      <c r="M126" s="419"/>
      <c r="N126" s="422">
        <v>1.1200000000000001</v>
      </c>
      <c r="O126" s="423"/>
    </row>
    <row r="127" spans="1:17">
      <c r="A127" s="185"/>
      <c r="B127" s="424" t="s">
        <v>661</v>
      </c>
      <c r="C127" s="428"/>
      <c r="D127" s="429"/>
      <c r="E127" s="429"/>
      <c r="F127" s="429"/>
      <c r="G127" s="429"/>
      <c r="H127" s="429"/>
      <c r="I127" s="429"/>
      <c r="J127" s="429"/>
      <c r="K127" s="429"/>
      <c r="L127" s="429"/>
      <c r="M127" s="419"/>
      <c r="N127" s="422">
        <v>1.1000000000000001</v>
      </c>
      <c r="O127" s="423"/>
    </row>
    <row r="128" spans="1:17">
      <c r="A128" s="185"/>
      <c r="B128" s="424" t="s">
        <v>662</v>
      </c>
      <c r="C128" s="428"/>
      <c r="D128" s="429"/>
      <c r="E128" s="429"/>
      <c r="F128" s="429"/>
      <c r="G128" s="429"/>
      <c r="H128" s="429"/>
      <c r="I128" s="429"/>
      <c r="J128" s="429"/>
      <c r="K128" s="429"/>
      <c r="L128" s="429"/>
      <c r="M128" s="419"/>
      <c r="N128" s="422">
        <v>1.1200000000000001</v>
      </c>
      <c r="O128" s="423"/>
    </row>
    <row r="129" spans="1:15">
      <c r="A129" s="185"/>
      <c r="B129" s="424" t="s">
        <v>663</v>
      </c>
      <c r="C129" s="428"/>
      <c r="D129" s="429"/>
      <c r="E129" s="429"/>
      <c r="F129" s="429"/>
      <c r="G129" s="429"/>
      <c r="H129" s="429"/>
      <c r="I129" s="429"/>
      <c r="J129" s="429"/>
      <c r="K129" s="429"/>
      <c r="L129" s="429"/>
      <c r="M129" s="419"/>
      <c r="N129" s="422">
        <v>1.1000000000000001</v>
      </c>
      <c r="O129" s="423"/>
    </row>
    <row r="130" spans="1:15">
      <c r="A130" s="185"/>
      <c r="B130" s="424" t="s">
        <v>664</v>
      </c>
      <c r="C130" s="428"/>
      <c r="D130" s="429"/>
      <c r="E130" s="429"/>
      <c r="F130" s="429"/>
      <c r="G130" s="429"/>
      <c r="H130" s="429"/>
      <c r="I130" s="429"/>
      <c r="J130" s="429"/>
      <c r="K130" s="429"/>
      <c r="L130" s="429"/>
      <c r="M130" s="419"/>
      <c r="N130" s="422">
        <v>1.1000000000000001</v>
      </c>
      <c r="O130" s="423"/>
    </row>
    <row r="131" spans="1:15">
      <c r="A131" s="185"/>
      <c r="B131" s="424" t="s">
        <v>665</v>
      </c>
      <c r="C131" s="428"/>
      <c r="D131" s="429"/>
      <c r="E131" s="429"/>
      <c r="F131" s="429"/>
      <c r="G131" s="429"/>
      <c r="H131" s="429"/>
      <c r="I131" s="429"/>
      <c r="J131" s="429"/>
      <c r="K131" s="429"/>
      <c r="L131" s="429"/>
      <c r="M131" s="419"/>
      <c r="N131" s="422">
        <v>1.1000000000000001</v>
      </c>
      <c r="O131" s="423"/>
    </row>
    <row r="132" spans="1:15">
      <c r="A132" s="185"/>
      <c r="B132" s="421" t="s">
        <v>704</v>
      </c>
      <c r="C132" s="428"/>
      <c r="D132" s="429"/>
      <c r="E132" s="429"/>
      <c r="F132" s="429"/>
      <c r="G132" s="429"/>
      <c r="H132" s="429"/>
      <c r="I132" s="429"/>
      <c r="J132" s="429"/>
      <c r="K132" s="429"/>
      <c r="L132" s="429"/>
      <c r="M132" s="419"/>
      <c r="N132" s="422">
        <v>1.1499999999999999</v>
      </c>
      <c r="O132" s="423"/>
    </row>
    <row r="133" spans="1:15">
      <c r="A133" s="185"/>
      <c r="B133" s="424" t="s">
        <v>667</v>
      </c>
      <c r="C133" s="428"/>
      <c r="D133" s="429"/>
      <c r="E133" s="429"/>
      <c r="F133" s="429"/>
      <c r="G133" s="429"/>
      <c r="H133" s="429"/>
      <c r="I133" s="429"/>
      <c r="J133" s="429"/>
      <c r="K133" s="429"/>
      <c r="L133" s="429"/>
      <c r="M133" s="419"/>
      <c r="N133" s="422">
        <v>1.1200000000000001</v>
      </c>
      <c r="O133" s="423"/>
    </row>
    <row r="134" spans="1:15">
      <c r="A134" s="185"/>
      <c r="B134" s="424" t="s">
        <v>668</v>
      </c>
      <c r="C134" s="428"/>
      <c r="D134" s="429"/>
      <c r="E134" s="429"/>
      <c r="F134" s="429"/>
      <c r="G134" s="429"/>
      <c r="H134" s="429"/>
      <c r="I134" s="429"/>
      <c r="J134" s="429"/>
      <c r="K134" s="429"/>
      <c r="L134" s="429"/>
      <c r="M134" s="419"/>
      <c r="N134" s="422">
        <v>1.1000000000000001</v>
      </c>
      <c r="O134" s="423"/>
    </row>
    <row r="135" spans="1:15">
      <c r="A135" s="185"/>
      <c r="B135" s="424" t="s">
        <v>669</v>
      </c>
      <c r="C135" s="428"/>
      <c r="D135" s="429"/>
      <c r="E135" s="429"/>
      <c r="F135" s="429"/>
      <c r="G135" s="429"/>
      <c r="H135" s="429"/>
      <c r="I135" s="429"/>
      <c r="J135" s="429"/>
      <c r="K135" s="429"/>
      <c r="L135" s="429"/>
      <c r="M135" s="419"/>
      <c r="N135" s="422">
        <v>1.1200000000000001</v>
      </c>
      <c r="O135" s="423"/>
    </row>
    <row r="136" spans="1:15">
      <c r="A136" s="185"/>
      <c r="B136" s="424" t="s">
        <v>670</v>
      </c>
      <c r="C136" s="428"/>
      <c r="D136" s="429"/>
      <c r="E136" s="429"/>
      <c r="F136" s="429"/>
      <c r="G136" s="429"/>
      <c r="H136" s="429"/>
      <c r="I136" s="429"/>
      <c r="J136" s="429"/>
      <c r="K136" s="429"/>
      <c r="L136" s="429"/>
      <c r="M136" s="419"/>
      <c r="N136" s="422">
        <v>1.1000000000000001</v>
      </c>
      <c r="O136" s="423"/>
    </row>
    <row r="137" spans="1:15">
      <c r="A137" s="185"/>
      <c r="B137" s="421" t="s">
        <v>705</v>
      </c>
      <c r="C137" s="428"/>
      <c r="D137" s="429"/>
      <c r="E137" s="429"/>
      <c r="F137" s="429"/>
      <c r="G137" s="429"/>
      <c r="H137" s="429"/>
      <c r="I137" s="429"/>
      <c r="J137" s="429"/>
      <c r="K137" s="429"/>
      <c r="L137" s="429"/>
      <c r="M137" s="419"/>
      <c r="N137" s="422">
        <v>1.1499999999999999</v>
      </c>
      <c r="O137" s="423"/>
    </row>
    <row r="138" spans="1:15">
      <c r="A138" s="185"/>
      <c r="B138" s="424" t="s">
        <v>671</v>
      </c>
      <c r="C138" s="428"/>
      <c r="D138" s="429"/>
      <c r="E138" s="429"/>
      <c r="F138" s="429"/>
      <c r="G138" s="429"/>
      <c r="H138" s="429"/>
      <c r="I138" s="429"/>
      <c r="J138" s="429"/>
      <c r="K138" s="429"/>
      <c r="L138" s="429"/>
      <c r="M138" s="419"/>
      <c r="N138" s="422">
        <v>1.1200000000000001</v>
      </c>
      <c r="O138" s="423"/>
    </row>
    <row r="139" spans="1:15">
      <c r="A139" s="185"/>
      <c r="B139" s="424" t="s">
        <v>672</v>
      </c>
      <c r="C139" s="428"/>
      <c r="D139" s="429"/>
      <c r="E139" s="429"/>
      <c r="F139" s="429"/>
      <c r="G139" s="429"/>
      <c r="H139" s="429"/>
      <c r="I139" s="429"/>
      <c r="J139" s="429"/>
      <c r="K139" s="429"/>
      <c r="L139" s="429"/>
      <c r="M139" s="419"/>
      <c r="N139" s="422">
        <v>1.1000000000000001</v>
      </c>
      <c r="O139" s="423"/>
    </row>
    <row r="140" spans="1:15">
      <c r="A140" s="185"/>
      <c r="B140" s="424" t="s">
        <v>673</v>
      </c>
      <c r="C140" s="428"/>
      <c r="D140" s="429"/>
      <c r="E140" s="429"/>
      <c r="F140" s="429"/>
      <c r="G140" s="429"/>
      <c r="H140" s="429"/>
      <c r="I140" s="429"/>
      <c r="J140" s="429"/>
      <c r="K140" s="429"/>
      <c r="L140" s="429"/>
      <c r="M140" s="419"/>
      <c r="N140" s="422">
        <v>1.05</v>
      </c>
      <c r="O140" s="423"/>
    </row>
    <row r="141" spans="1:15">
      <c r="A141" s="185"/>
      <c r="B141" s="424" t="s">
        <v>674</v>
      </c>
      <c r="C141" s="428"/>
      <c r="D141" s="429"/>
      <c r="E141" s="429"/>
      <c r="F141" s="429"/>
      <c r="G141" s="429"/>
      <c r="H141" s="429"/>
      <c r="I141" s="429"/>
      <c r="J141" s="429"/>
      <c r="K141" s="429"/>
      <c r="L141" s="429"/>
      <c r="M141" s="419"/>
      <c r="N141" s="422">
        <v>1.1000000000000001</v>
      </c>
      <c r="O141" s="423"/>
    </row>
    <row r="142" spans="1:15">
      <c r="A142" s="185"/>
      <c r="B142" s="424" t="s">
        <v>675</v>
      </c>
      <c r="C142" s="428"/>
      <c r="D142" s="429"/>
      <c r="E142" s="429"/>
      <c r="F142" s="429"/>
      <c r="G142" s="429"/>
      <c r="H142" s="429"/>
      <c r="I142" s="429"/>
      <c r="J142" s="429"/>
      <c r="K142" s="429"/>
      <c r="L142" s="429"/>
      <c r="M142" s="419"/>
      <c r="N142" s="422">
        <v>1.05</v>
      </c>
      <c r="O142" s="423"/>
    </row>
    <row r="143" spans="1:15">
      <c r="A143" s="185"/>
      <c r="B143" s="421" t="s">
        <v>706</v>
      </c>
      <c r="C143" s="428"/>
      <c r="D143" s="429"/>
      <c r="E143" s="429"/>
      <c r="F143" s="429"/>
      <c r="G143" s="429"/>
      <c r="H143" s="429"/>
      <c r="I143" s="429"/>
      <c r="J143" s="429"/>
      <c r="K143" s="429"/>
      <c r="L143" s="429"/>
      <c r="M143" s="419"/>
      <c r="N143" s="422">
        <v>1.1499999999999999</v>
      </c>
      <c r="O143" s="423"/>
    </row>
    <row r="144" spans="1:15">
      <c r="A144" s="185"/>
      <c r="B144" s="424" t="s">
        <v>676</v>
      </c>
      <c r="C144" s="428"/>
      <c r="D144" s="429"/>
      <c r="E144" s="429"/>
      <c r="F144" s="429"/>
      <c r="G144" s="429"/>
      <c r="H144" s="429"/>
      <c r="I144" s="429"/>
      <c r="J144" s="429"/>
      <c r="K144" s="429"/>
      <c r="L144" s="429"/>
      <c r="M144" s="419"/>
      <c r="N144" s="422">
        <v>1.1200000000000001</v>
      </c>
      <c r="O144" s="423"/>
    </row>
    <row r="145" spans="1:15">
      <c r="A145" s="185"/>
      <c r="B145" s="424" t="s">
        <v>677</v>
      </c>
      <c r="C145" s="428"/>
      <c r="D145" s="429"/>
      <c r="E145" s="429"/>
      <c r="F145" s="429"/>
      <c r="G145" s="429"/>
      <c r="H145" s="429"/>
      <c r="I145" s="429"/>
      <c r="J145" s="429"/>
      <c r="K145" s="429"/>
      <c r="L145" s="429"/>
      <c r="M145" s="419"/>
      <c r="N145" s="422">
        <v>1.1100000000000001</v>
      </c>
      <c r="O145" s="423"/>
    </row>
    <row r="146" spans="1:15">
      <c r="A146" s="185"/>
      <c r="B146" s="424" t="s">
        <v>678</v>
      </c>
      <c r="C146" s="428"/>
      <c r="D146" s="429"/>
      <c r="E146" s="429"/>
      <c r="F146" s="429"/>
      <c r="G146" s="429"/>
      <c r="H146" s="429"/>
      <c r="I146" s="429"/>
      <c r="J146" s="429"/>
      <c r="K146" s="429"/>
      <c r="L146" s="429"/>
      <c r="M146" s="419"/>
      <c r="N146" s="422">
        <v>10.5</v>
      </c>
      <c r="O146" s="423"/>
    </row>
    <row r="147" spans="1:15">
      <c r="A147" s="185"/>
      <c r="B147" s="424" t="s">
        <v>679</v>
      </c>
      <c r="C147" s="428"/>
      <c r="D147" s="429"/>
      <c r="E147" s="429"/>
      <c r="F147" s="429"/>
      <c r="G147" s="429"/>
      <c r="H147" s="429"/>
      <c r="I147" s="429"/>
      <c r="J147" s="429"/>
      <c r="K147" s="429"/>
      <c r="L147" s="429"/>
      <c r="M147" s="419"/>
      <c r="N147" s="422">
        <v>1.1100000000000001</v>
      </c>
      <c r="O147" s="423"/>
    </row>
    <row r="148" spans="1:15">
      <c r="A148" s="185"/>
      <c r="B148" s="424" t="s">
        <v>680</v>
      </c>
      <c r="C148" s="428"/>
      <c r="D148" s="429"/>
      <c r="E148" s="429"/>
      <c r="F148" s="429"/>
      <c r="G148" s="429"/>
      <c r="H148" s="429"/>
      <c r="I148" s="429"/>
      <c r="J148" s="429"/>
      <c r="K148" s="429"/>
      <c r="L148" s="429"/>
      <c r="M148" s="419"/>
      <c r="N148" s="422">
        <v>1.05</v>
      </c>
      <c r="O148" s="423"/>
    </row>
    <row r="149" spans="1:15">
      <c r="A149" s="185"/>
      <c r="B149" s="424" t="s">
        <v>681</v>
      </c>
      <c r="C149" s="428"/>
      <c r="D149" s="429"/>
      <c r="E149" s="429"/>
      <c r="F149" s="429"/>
      <c r="G149" s="429"/>
      <c r="H149" s="429"/>
      <c r="I149" s="429"/>
      <c r="J149" s="429"/>
      <c r="K149" s="429"/>
      <c r="L149" s="429"/>
      <c r="M149" s="419"/>
      <c r="N149" s="422">
        <v>1.1200000000000001</v>
      </c>
      <c r="O149" s="423"/>
    </row>
    <row r="150" spans="1:15">
      <c r="A150" s="185"/>
      <c r="B150" s="424" t="s">
        <v>682</v>
      </c>
      <c r="C150" s="428"/>
      <c r="D150" s="429"/>
      <c r="E150" s="429"/>
      <c r="F150" s="429"/>
      <c r="G150" s="429"/>
      <c r="H150" s="429"/>
      <c r="I150" s="429"/>
      <c r="J150" s="429"/>
      <c r="K150" s="429"/>
      <c r="L150" s="429"/>
      <c r="M150" s="419"/>
      <c r="N150" s="422">
        <v>1.05</v>
      </c>
      <c r="O150" s="423"/>
    </row>
    <row r="151" spans="1:15">
      <c r="A151" s="185"/>
      <c r="B151" s="424" t="s">
        <v>666</v>
      </c>
      <c r="C151" s="428"/>
      <c r="D151" s="429"/>
      <c r="E151" s="429"/>
      <c r="F151" s="429"/>
      <c r="G151" s="429"/>
      <c r="H151" s="429"/>
      <c r="I151" s="429"/>
      <c r="J151" s="429"/>
      <c r="K151" s="429"/>
      <c r="L151" s="429"/>
      <c r="M151" s="419"/>
      <c r="N151" s="422">
        <v>1.1000000000000001</v>
      </c>
      <c r="O151" s="423"/>
    </row>
    <row r="152" spans="1:15">
      <c r="A152" s="185"/>
      <c r="B152" s="421" t="s">
        <v>707</v>
      </c>
      <c r="C152" s="428"/>
      <c r="D152" s="429"/>
      <c r="E152" s="429"/>
      <c r="F152" s="429"/>
      <c r="G152" s="429"/>
      <c r="H152" s="429"/>
      <c r="I152" s="429"/>
      <c r="J152" s="429"/>
      <c r="K152" s="429"/>
      <c r="L152" s="429"/>
      <c r="M152" s="419"/>
      <c r="N152" s="422">
        <v>1.1499999999999999</v>
      </c>
      <c r="O152" s="423"/>
    </row>
    <row r="153" spans="1:15">
      <c r="A153" s="185"/>
      <c r="B153" s="424" t="s">
        <v>683</v>
      </c>
      <c r="C153" s="428"/>
      <c r="D153" s="429"/>
      <c r="E153" s="429"/>
      <c r="F153" s="429"/>
      <c r="G153" s="429"/>
      <c r="H153" s="429"/>
      <c r="I153" s="429"/>
      <c r="J153" s="429"/>
      <c r="K153" s="429"/>
      <c r="L153" s="429"/>
      <c r="M153" s="419"/>
      <c r="N153" s="422">
        <v>1.1200000000000001</v>
      </c>
      <c r="O153" s="423"/>
    </row>
    <row r="154" spans="1:15">
      <c r="A154" s="185"/>
      <c r="B154" s="424" t="s">
        <v>684</v>
      </c>
      <c r="C154" s="428"/>
      <c r="D154" s="429"/>
      <c r="E154" s="429"/>
      <c r="F154" s="429"/>
      <c r="G154" s="429"/>
      <c r="H154" s="429"/>
      <c r="I154" s="429"/>
      <c r="J154" s="429"/>
      <c r="K154" s="429"/>
      <c r="L154" s="429"/>
      <c r="M154" s="419"/>
      <c r="N154" s="422">
        <v>1.1100000000000001</v>
      </c>
      <c r="O154" s="423"/>
    </row>
    <row r="155" spans="1:15">
      <c r="A155" s="185"/>
      <c r="B155" s="424" t="s">
        <v>685</v>
      </c>
      <c r="C155" s="428"/>
      <c r="D155" s="429"/>
      <c r="E155" s="429"/>
      <c r="F155" s="429"/>
      <c r="G155" s="429"/>
      <c r="H155" s="429"/>
      <c r="I155" s="429"/>
      <c r="J155" s="429"/>
      <c r="K155" s="429"/>
      <c r="L155" s="429"/>
      <c r="M155" s="419"/>
      <c r="N155" s="422">
        <v>1.05</v>
      </c>
      <c r="O155" s="423"/>
    </row>
    <row r="156" spans="1:15">
      <c r="A156" s="185"/>
      <c r="B156" s="424" t="s">
        <v>686</v>
      </c>
      <c r="C156" s="428"/>
      <c r="D156" s="429"/>
      <c r="E156" s="429"/>
      <c r="F156" s="429"/>
      <c r="G156" s="429"/>
      <c r="H156" s="429"/>
      <c r="I156" s="429"/>
      <c r="J156" s="429"/>
      <c r="K156" s="429"/>
      <c r="L156" s="429"/>
      <c r="M156" s="419"/>
      <c r="N156" s="422">
        <v>1.1100000000000001</v>
      </c>
      <c r="O156" s="423"/>
    </row>
    <row r="157" spans="1:15">
      <c r="A157" s="185"/>
      <c r="B157" s="424" t="s">
        <v>687</v>
      </c>
      <c r="C157" s="428"/>
      <c r="D157" s="429"/>
      <c r="E157" s="429"/>
      <c r="F157" s="429"/>
      <c r="G157" s="429"/>
      <c r="H157" s="429"/>
      <c r="I157" s="429"/>
      <c r="J157" s="429"/>
      <c r="K157" s="429"/>
      <c r="L157" s="429"/>
      <c r="M157" s="419"/>
      <c r="N157" s="422">
        <v>1.05</v>
      </c>
      <c r="O157" s="423"/>
    </row>
    <row r="158" spans="1:15">
      <c r="A158" s="185"/>
      <c r="B158" s="424" t="s">
        <v>688</v>
      </c>
      <c r="C158" s="428"/>
      <c r="D158" s="429"/>
      <c r="E158" s="429"/>
      <c r="F158" s="429"/>
      <c r="G158" s="429"/>
      <c r="H158" s="429"/>
      <c r="I158" s="429"/>
      <c r="J158" s="429"/>
      <c r="K158" s="429"/>
      <c r="L158" s="429"/>
      <c r="M158" s="419"/>
      <c r="N158" s="422">
        <v>1.1200000000000001</v>
      </c>
      <c r="O158" s="423"/>
    </row>
    <row r="159" spans="1:15">
      <c r="A159" s="185"/>
      <c r="B159" s="424" t="s">
        <v>689</v>
      </c>
      <c r="C159" s="430"/>
      <c r="D159" s="428"/>
      <c r="E159" s="429"/>
      <c r="F159" s="429"/>
      <c r="G159" s="429"/>
      <c r="H159" s="429"/>
      <c r="I159" s="429"/>
      <c r="J159" s="429"/>
      <c r="K159" s="429"/>
      <c r="L159" s="429"/>
      <c r="M159" s="419"/>
      <c r="N159" s="422">
        <v>1.1100000000000001</v>
      </c>
      <c r="O159" s="423"/>
    </row>
    <row r="160" spans="1:15">
      <c r="A160" s="185"/>
      <c r="B160" s="424" t="s">
        <v>690</v>
      </c>
      <c r="C160" s="428"/>
      <c r="D160" s="429"/>
      <c r="E160" s="429"/>
      <c r="F160" s="429"/>
      <c r="G160" s="429"/>
      <c r="H160" s="429"/>
      <c r="I160" s="429"/>
      <c r="J160" s="429"/>
      <c r="K160" s="429"/>
      <c r="L160" s="429"/>
      <c r="M160" s="419"/>
      <c r="N160" s="422">
        <v>1.05</v>
      </c>
      <c r="O160" s="423"/>
    </row>
    <row r="161" spans="1:15">
      <c r="A161" s="185"/>
      <c r="B161" s="424" t="s">
        <v>691</v>
      </c>
      <c r="C161" s="428"/>
      <c r="D161" s="429"/>
      <c r="E161" s="429"/>
      <c r="F161" s="429"/>
      <c r="G161" s="429"/>
      <c r="H161" s="429"/>
      <c r="I161" s="429"/>
      <c r="J161" s="429"/>
      <c r="K161" s="429"/>
      <c r="L161" s="429"/>
      <c r="M161" s="419"/>
      <c r="N161" s="422">
        <v>1.1000000000000001</v>
      </c>
      <c r="O161" s="423"/>
    </row>
    <row r="162" spans="1:15">
      <c r="A162" s="185"/>
      <c r="B162" s="421" t="s">
        <v>708</v>
      </c>
      <c r="C162" s="428"/>
      <c r="D162" s="429"/>
      <c r="E162" s="429"/>
      <c r="F162" s="429"/>
      <c r="G162" s="429"/>
      <c r="H162" s="429"/>
      <c r="I162" s="429"/>
      <c r="J162" s="429"/>
      <c r="K162" s="429"/>
      <c r="L162" s="429"/>
      <c r="M162" s="419"/>
      <c r="N162" s="422">
        <v>1.1499999999999999</v>
      </c>
      <c r="O162" s="423"/>
    </row>
    <row r="163" spans="1:15">
      <c r="A163" s="185"/>
      <c r="B163" s="424" t="s">
        <v>692</v>
      </c>
      <c r="C163" s="428"/>
      <c r="D163" s="429"/>
      <c r="E163" s="429"/>
      <c r="F163" s="429"/>
      <c r="G163" s="429"/>
      <c r="H163" s="429"/>
      <c r="I163" s="429"/>
      <c r="J163" s="429"/>
      <c r="K163" s="429"/>
      <c r="L163" s="429"/>
      <c r="M163" s="419"/>
      <c r="N163" s="422">
        <v>1.1000000000000001</v>
      </c>
      <c r="O163" s="423"/>
    </row>
    <row r="164" spans="1:15">
      <c r="A164" s="185"/>
      <c r="B164" s="424" t="s">
        <v>693</v>
      </c>
      <c r="C164" s="428"/>
      <c r="D164" s="429"/>
      <c r="E164" s="429"/>
      <c r="F164" s="429"/>
      <c r="G164" s="429"/>
      <c r="H164" s="429"/>
      <c r="I164" s="429"/>
      <c r="J164" s="429"/>
      <c r="K164" s="429"/>
      <c r="L164" s="429"/>
      <c r="M164" s="419"/>
      <c r="N164" s="422">
        <v>1.1000000000000001</v>
      </c>
      <c r="O164" s="423"/>
    </row>
    <row r="165" spans="1:15">
      <c r="A165" s="185"/>
      <c r="B165" s="424" t="s">
        <v>694</v>
      </c>
      <c r="C165" s="428"/>
      <c r="D165" s="429"/>
      <c r="E165" s="429"/>
      <c r="F165" s="429"/>
      <c r="G165" s="429"/>
      <c r="H165" s="429"/>
      <c r="I165" s="429"/>
      <c r="J165" s="429"/>
      <c r="K165" s="429"/>
      <c r="L165" s="429"/>
      <c r="M165" s="419"/>
      <c r="N165" s="422">
        <v>1.1000000000000001</v>
      </c>
      <c r="O165" s="423"/>
    </row>
    <row r="166" spans="1:15">
      <c r="A166" s="185"/>
      <c r="B166" s="431" t="s">
        <v>695</v>
      </c>
      <c r="C166" s="428"/>
      <c r="D166" s="429"/>
      <c r="E166" s="429"/>
      <c r="F166" s="429"/>
      <c r="G166" s="429"/>
      <c r="H166" s="429"/>
      <c r="I166" s="429"/>
      <c r="J166" s="429"/>
      <c r="K166" s="429"/>
      <c r="L166" s="429"/>
      <c r="M166" s="419"/>
      <c r="N166" s="422">
        <v>1.1499999999999999</v>
      </c>
      <c r="O166" s="423"/>
    </row>
    <row r="167" spans="1:15">
      <c r="A167" s="185"/>
      <c r="B167" s="424" t="s">
        <v>696</v>
      </c>
      <c r="C167" s="428"/>
      <c r="D167" s="429"/>
      <c r="E167" s="429"/>
      <c r="F167" s="429"/>
      <c r="G167" s="429"/>
      <c r="H167" s="429"/>
      <c r="I167" s="429"/>
      <c r="J167" s="429"/>
      <c r="K167" s="429"/>
      <c r="L167" s="429"/>
      <c r="M167" s="419"/>
      <c r="N167" s="422">
        <v>1.1000000000000001</v>
      </c>
      <c r="O167" s="423"/>
    </row>
    <row r="168" spans="1:15">
      <c r="A168" s="185"/>
      <c r="B168" s="424" t="s">
        <v>697</v>
      </c>
      <c r="C168" s="428"/>
      <c r="D168" s="429"/>
      <c r="E168" s="429"/>
      <c r="F168" s="429"/>
      <c r="G168" s="429"/>
      <c r="H168" s="429"/>
      <c r="I168" s="429"/>
      <c r="J168" s="429"/>
      <c r="K168" s="429"/>
      <c r="L168" s="429"/>
      <c r="M168" s="419"/>
      <c r="N168" s="422">
        <v>1.1200000000000001</v>
      </c>
      <c r="O168" s="423"/>
    </row>
    <row r="169" spans="1:15">
      <c r="A169" s="185"/>
      <c r="B169" s="424" t="s">
        <v>698</v>
      </c>
      <c r="C169" s="428"/>
      <c r="D169" s="429"/>
      <c r="E169" s="429"/>
      <c r="F169" s="429"/>
      <c r="G169" s="429"/>
      <c r="H169" s="429"/>
      <c r="I169" s="429"/>
      <c r="J169" s="429"/>
      <c r="K169" s="429"/>
      <c r="L169" s="429"/>
      <c r="M169" s="419"/>
      <c r="N169" s="422">
        <v>1.05</v>
      </c>
      <c r="O169" s="423"/>
    </row>
    <row r="170" spans="1:15">
      <c r="A170" s="185"/>
      <c r="B170" s="424" t="s">
        <v>699</v>
      </c>
      <c r="C170" s="428"/>
      <c r="D170" s="429"/>
      <c r="E170" s="429"/>
      <c r="F170" s="429"/>
      <c r="G170" s="429"/>
      <c r="H170" s="429"/>
      <c r="I170" s="429"/>
      <c r="J170" s="429"/>
      <c r="K170" s="429"/>
      <c r="L170" s="429"/>
      <c r="M170" s="419"/>
      <c r="N170" s="422">
        <v>1.1200000000000001</v>
      </c>
      <c r="O170" s="423"/>
    </row>
    <row r="171" spans="1:15">
      <c r="A171" s="185"/>
      <c r="B171" s="424" t="s">
        <v>700</v>
      </c>
      <c r="C171" s="428"/>
      <c r="D171" s="429"/>
      <c r="E171" s="429"/>
      <c r="F171" s="429"/>
      <c r="G171" s="429"/>
      <c r="H171" s="429"/>
      <c r="I171" s="429"/>
      <c r="J171" s="429"/>
      <c r="K171" s="429"/>
      <c r="L171" s="429"/>
      <c r="M171" s="419"/>
      <c r="N171" s="422">
        <v>1.1000000000000001</v>
      </c>
      <c r="O171" s="423"/>
    </row>
    <row r="172" spans="1:15">
      <c r="A172" s="185"/>
      <c r="B172" s="424" t="s">
        <v>701</v>
      </c>
      <c r="C172" s="428"/>
      <c r="D172" s="429"/>
      <c r="E172" s="429"/>
      <c r="F172" s="429"/>
      <c r="G172" s="429"/>
      <c r="H172" s="429"/>
      <c r="I172" s="429"/>
      <c r="J172" s="429"/>
      <c r="K172" s="429"/>
      <c r="L172" s="429"/>
      <c r="M172" s="419"/>
      <c r="N172" s="422">
        <v>1.1000000000000001</v>
      </c>
      <c r="O172" s="423"/>
    </row>
    <row r="173" spans="1:15">
      <c r="A173" s="185"/>
      <c r="B173" s="421" t="s">
        <v>709</v>
      </c>
      <c r="C173" s="428"/>
      <c r="D173" s="429"/>
      <c r="E173" s="429"/>
      <c r="F173" s="429"/>
      <c r="G173" s="429"/>
      <c r="H173" s="429"/>
      <c r="I173" s="429"/>
      <c r="J173" s="429"/>
      <c r="K173" s="429"/>
      <c r="L173" s="429"/>
      <c r="M173" s="419"/>
      <c r="N173" s="422">
        <v>1.1499999999999999</v>
      </c>
      <c r="O173" s="423"/>
    </row>
    <row r="174" spans="1:15">
      <c r="A174" s="185"/>
      <c r="B174" s="424" t="s">
        <v>702</v>
      </c>
      <c r="C174" s="428"/>
      <c r="D174" s="429"/>
      <c r="E174" s="429"/>
      <c r="F174" s="429"/>
      <c r="G174" s="429"/>
      <c r="H174" s="429"/>
      <c r="I174" s="429"/>
      <c r="J174" s="429"/>
      <c r="K174" s="429"/>
      <c r="L174" s="429"/>
      <c r="M174" s="419"/>
      <c r="N174" s="422">
        <v>1.1000000000000001</v>
      </c>
      <c r="O174" s="423"/>
    </row>
    <row r="175" spans="1:15">
      <c r="A175" s="185"/>
      <c r="B175" s="186"/>
      <c r="C175" s="429"/>
      <c r="D175" s="429"/>
      <c r="E175" s="428"/>
      <c r="F175" s="428"/>
      <c r="G175" s="428"/>
      <c r="H175" s="428"/>
      <c r="I175" s="428"/>
      <c r="J175" s="428"/>
      <c r="K175" s="428"/>
      <c r="L175" s="428"/>
      <c r="M175" s="419"/>
      <c r="N175" s="422"/>
      <c r="O175" s="423"/>
    </row>
  </sheetData>
  <mergeCells count="6">
    <mergeCell ref="P70:P73"/>
    <mergeCell ref="A1:I1"/>
    <mergeCell ref="J1:K1"/>
    <mergeCell ref="C3:L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-0.249977111117893"/>
  </sheetPr>
  <dimension ref="A1:BA210"/>
  <sheetViews>
    <sheetView tabSelected="1" zoomScale="85" zoomScaleNormal="85" workbookViewId="0">
      <pane xSplit="6" ySplit="8" topLeftCell="S168" activePane="bottomRight" state="frozen"/>
      <selection pane="topRight" activeCell="F1" sqref="F1"/>
      <selection pane="bottomLeft" activeCell="A8" sqref="A8"/>
      <selection pane="bottomRight" activeCell="AQ18" sqref="AQ18"/>
    </sheetView>
  </sheetViews>
  <sheetFormatPr defaultColWidth="9.08984375" defaultRowHeight="11.5"/>
  <cols>
    <col min="1" max="1" width="2.08984375" style="452" customWidth="1"/>
    <col min="2" max="2" width="7.36328125" style="459" customWidth="1"/>
    <col min="3" max="3" width="18.54296875" style="452" customWidth="1"/>
    <col min="4" max="4" width="20.54296875" style="452" customWidth="1"/>
    <col min="5" max="5" width="9.6328125" style="488" customWidth="1"/>
    <col min="6" max="6" width="4.54296875" style="452" customWidth="1"/>
    <col min="7" max="7" width="5.08984375" style="453" customWidth="1"/>
    <col min="8" max="8" width="4.453125" style="453" customWidth="1"/>
    <col min="9" max="9" width="4" style="453" customWidth="1"/>
    <col min="10" max="10" width="8" style="454" customWidth="1"/>
    <col min="11" max="11" width="5.6328125" style="454" customWidth="1"/>
    <col min="12" max="12" width="6.36328125" style="454" customWidth="1"/>
    <col min="13" max="13" width="6.90625" style="454" customWidth="1"/>
    <col min="14" max="14" width="7.54296875" style="454" customWidth="1"/>
    <col min="15" max="15" width="6" style="454" customWidth="1"/>
    <col min="16" max="16" width="5.90625" style="454" customWidth="1"/>
    <col min="17" max="17" width="4.453125" style="454" customWidth="1"/>
    <col min="18" max="18" width="5.90625" style="454" customWidth="1"/>
    <col min="19" max="19" width="7.54296875" style="454" customWidth="1"/>
    <col min="20" max="20" width="6.453125" style="454" customWidth="1"/>
    <col min="21" max="21" width="6" style="454" customWidth="1"/>
    <col min="22" max="22" width="8.08984375" style="454" customWidth="1"/>
    <col min="23" max="23" width="6" style="455" customWidth="1"/>
    <col min="24" max="24" width="4.6328125" style="454" customWidth="1"/>
    <col min="25" max="25" width="5" style="454" customWidth="1"/>
    <col min="26" max="27" width="4.6328125" style="454" customWidth="1"/>
    <col min="28" max="28" width="4.36328125" style="454" customWidth="1"/>
    <col min="29" max="29" width="6.36328125" style="454" customWidth="1"/>
    <col min="30" max="30" width="9" style="454" customWidth="1"/>
    <col min="31" max="31" width="6.90625" style="454" customWidth="1"/>
    <col min="32" max="32" width="5.36328125" style="454" customWidth="1"/>
    <col min="33" max="33" width="5.6328125" style="454" customWidth="1"/>
    <col min="34" max="34" width="6.08984375" style="454" customWidth="1"/>
    <col min="35" max="35" width="6.453125" style="454" customWidth="1"/>
    <col min="36" max="36" width="5.90625" style="454" customWidth="1"/>
    <col min="37" max="37" width="8.36328125" style="454" customWidth="1"/>
    <col min="38" max="38" width="7.90625" style="454" customWidth="1"/>
    <col min="39" max="39" width="10" style="454" customWidth="1"/>
    <col min="40" max="40" width="8.36328125" style="454" customWidth="1"/>
    <col min="41" max="41" width="5.90625" style="454" hidden="1" customWidth="1"/>
    <col min="42" max="42" width="11.453125" style="456" customWidth="1"/>
    <col min="43" max="16384" width="9.08984375" style="452"/>
  </cols>
  <sheetData>
    <row r="1" spans="1:42">
      <c r="B1" s="459">
        <v>1</v>
      </c>
      <c r="C1" s="452">
        <v>2</v>
      </c>
      <c r="D1" s="452">
        <v>3</v>
      </c>
      <c r="E1" s="488">
        <v>4</v>
      </c>
      <c r="F1" s="452">
        <v>5</v>
      </c>
      <c r="G1" s="452">
        <v>6</v>
      </c>
      <c r="H1" s="452">
        <v>7</v>
      </c>
      <c r="I1" s="452">
        <v>8</v>
      </c>
      <c r="J1" s="452">
        <v>9</v>
      </c>
      <c r="K1" s="452">
        <v>10</v>
      </c>
      <c r="L1" s="452">
        <v>11</v>
      </c>
      <c r="M1" s="452">
        <v>12</v>
      </c>
      <c r="N1" s="452">
        <v>13</v>
      </c>
      <c r="O1" s="452">
        <v>14</v>
      </c>
      <c r="P1" s="452">
        <v>15</v>
      </c>
      <c r="Q1" s="452">
        <v>16</v>
      </c>
      <c r="R1" s="452">
        <v>17</v>
      </c>
      <c r="S1" s="452">
        <v>18</v>
      </c>
      <c r="T1" s="452">
        <v>19</v>
      </c>
      <c r="U1" s="452">
        <v>20</v>
      </c>
      <c r="V1" s="452">
        <v>21</v>
      </c>
      <c r="W1" s="452">
        <v>22</v>
      </c>
      <c r="X1" s="452">
        <v>23</v>
      </c>
      <c r="Y1" s="452">
        <v>24</v>
      </c>
      <c r="Z1" s="452">
        <v>25</v>
      </c>
      <c r="AA1" s="452">
        <v>26</v>
      </c>
      <c r="AB1" s="452">
        <v>27</v>
      </c>
      <c r="AC1" s="452">
        <v>28</v>
      </c>
      <c r="AD1" s="452">
        <v>29</v>
      </c>
      <c r="AE1" s="452">
        <v>30</v>
      </c>
      <c r="AF1" s="452">
        <v>31</v>
      </c>
      <c r="AG1" s="452">
        <v>32</v>
      </c>
      <c r="AH1" s="452">
        <v>33</v>
      </c>
      <c r="AI1" s="452">
        <v>34</v>
      </c>
      <c r="AJ1" s="452">
        <v>35</v>
      </c>
      <c r="AK1" s="452">
        <v>36</v>
      </c>
      <c r="AL1" s="452">
        <v>37</v>
      </c>
      <c r="AM1" s="452">
        <v>38</v>
      </c>
      <c r="AN1" s="452">
        <v>39</v>
      </c>
      <c r="AO1" s="452">
        <v>40</v>
      </c>
      <c r="AP1" s="452">
        <v>41</v>
      </c>
    </row>
    <row r="2" spans="1:42" ht="18" customHeight="1">
      <c r="A2" s="238" t="s">
        <v>531</v>
      </c>
      <c r="B2" s="478"/>
      <c r="C2" s="237"/>
      <c r="D2" s="237"/>
      <c r="E2" s="489"/>
      <c r="F2" s="237"/>
      <c r="G2" s="239"/>
      <c r="H2" s="239"/>
      <c r="I2" s="239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1"/>
      <c r="X2" s="240"/>
      <c r="Y2" s="240"/>
      <c r="Z2" s="240"/>
      <c r="AA2" s="240"/>
      <c r="AB2" s="240"/>
      <c r="AC2" s="240"/>
      <c r="AD2" s="240"/>
      <c r="AE2" s="240"/>
      <c r="AF2" s="240"/>
      <c r="AG2" s="240"/>
      <c r="AH2" s="240"/>
      <c r="AI2" s="240"/>
      <c r="AJ2" s="240"/>
      <c r="AK2" s="242"/>
      <c r="AL2" s="240"/>
      <c r="AM2" s="240"/>
      <c r="AN2" s="240"/>
      <c r="AO2" s="240"/>
      <c r="AP2" s="243"/>
    </row>
    <row r="3" spans="1:42">
      <c r="A3" s="237"/>
      <c r="B3" s="479"/>
      <c r="C3" s="244"/>
      <c r="D3" s="244"/>
      <c r="E3" s="490"/>
      <c r="F3" s="244"/>
      <c r="G3" s="245"/>
      <c r="H3" s="245"/>
      <c r="I3" s="239"/>
      <c r="J3" s="490">
        <v>43337</v>
      </c>
      <c r="K3" s="244"/>
      <c r="L3" s="244"/>
      <c r="M3" s="244"/>
      <c r="N3" s="244"/>
      <c r="O3" s="244"/>
      <c r="P3" s="244"/>
      <c r="Q3" s="244"/>
      <c r="R3" s="244"/>
      <c r="S3" s="244"/>
      <c r="T3" s="244"/>
      <c r="U3" s="244"/>
      <c r="V3" s="244"/>
      <c r="W3" s="244"/>
      <c r="X3" s="246" t="s">
        <v>802</v>
      </c>
      <c r="Y3" s="246"/>
      <c r="Z3" s="246"/>
      <c r="AA3" s="590"/>
      <c r="AB3" s="590"/>
      <c r="AC3" s="450"/>
      <c r="AD3" s="450"/>
      <c r="AE3" s="450"/>
      <c r="AF3" s="450"/>
      <c r="AG3" s="450"/>
      <c r="AH3" s="450"/>
      <c r="AI3" s="450"/>
      <c r="AJ3" s="450"/>
      <c r="AK3" s="247" t="s">
        <v>538</v>
      </c>
      <c r="AL3" s="248">
        <v>1.4999999999999999E-2</v>
      </c>
      <c r="AM3" s="247"/>
      <c r="AN3" s="248">
        <v>0.105</v>
      </c>
      <c r="AO3" s="248"/>
      <c r="AP3" s="243"/>
    </row>
    <row r="4" spans="1:42" ht="3" customHeight="1">
      <c r="A4" s="237"/>
      <c r="B4" s="479"/>
      <c r="C4" s="249"/>
      <c r="D4" s="237"/>
      <c r="E4" s="489"/>
      <c r="F4" s="237"/>
      <c r="G4" s="239"/>
      <c r="H4" s="239"/>
      <c r="I4" s="239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1"/>
      <c r="X4" s="240"/>
      <c r="Y4" s="240"/>
      <c r="Z4" s="240"/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  <c r="AO4" s="240"/>
      <c r="AP4" s="243"/>
    </row>
    <row r="5" spans="1:42" s="458" customFormat="1" ht="15.75" customHeight="1">
      <c r="A5" s="577" t="s">
        <v>0</v>
      </c>
      <c r="B5" s="591" t="s">
        <v>528</v>
      </c>
      <c r="C5" s="593" t="s">
        <v>529</v>
      </c>
      <c r="D5" s="593" t="s">
        <v>386</v>
      </c>
      <c r="E5" s="594" t="s">
        <v>530</v>
      </c>
      <c r="F5" s="596" t="s">
        <v>227</v>
      </c>
      <c r="G5" s="587" t="s">
        <v>228</v>
      </c>
      <c r="H5" s="588"/>
      <c r="I5" s="589"/>
      <c r="J5" s="597" t="s">
        <v>6</v>
      </c>
      <c r="K5" s="600" t="s">
        <v>229</v>
      </c>
      <c r="L5" s="601"/>
      <c r="M5" s="601"/>
      <c r="N5" s="602"/>
      <c r="O5" s="603" t="s">
        <v>230</v>
      </c>
      <c r="P5" s="604"/>
      <c r="Q5" s="604"/>
      <c r="R5" s="604"/>
      <c r="S5" s="604"/>
      <c r="T5" s="604"/>
      <c r="U5" s="605"/>
      <c r="V5" s="581" t="s">
        <v>544</v>
      </c>
      <c r="W5" s="581" t="s">
        <v>545</v>
      </c>
      <c r="X5" s="581" t="s">
        <v>546</v>
      </c>
      <c r="Y5" s="586" t="s">
        <v>391</v>
      </c>
      <c r="Z5" s="581" t="s">
        <v>547</v>
      </c>
      <c r="AA5" s="581" t="s">
        <v>548</v>
      </c>
      <c r="AB5" s="581" t="s">
        <v>549</v>
      </c>
      <c r="AC5" s="581" t="s">
        <v>601</v>
      </c>
      <c r="AD5" s="572" t="s">
        <v>583</v>
      </c>
      <c r="AE5" s="572" t="s">
        <v>586</v>
      </c>
      <c r="AF5" s="572" t="s">
        <v>598</v>
      </c>
      <c r="AG5" s="572" t="s">
        <v>599</v>
      </c>
      <c r="AH5" s="572" t="s">
        <v>231</v>
      </c>
      <c r="AI5" s="572" t="s">
        <v>387</v>
      </c>
      <c r="AJ5" s="572" t="s">
        <v>584</v>
      </c>
      <c r="AK5" s="582" t="s">
        <v>388</v>
      </c>
      <c r="AL5" s="580" t="s">
        <v>9</v>
      </c>
      <c r="AM5" s="583" t="s">
        <v>539</v>
      </c>
      <c r="AN5" s="582" t="s">
        <v>389</v>
      </c>
      <c r="AO5" s="577" t="s">
        <v>658</v>
      </c>
      <c r="AP5" s="580" t="s">
        <v>390</v>
      </c>
    </row>
    <row r="6" spans="1:42" s="458" customFormat="1" ht="15.75" customHeight="1">
      <c r="A6" s="578"/>
      <c r="B6" s="592"/>
      <c r="C6" s="582"/>
      <c r="D6" s="582"/>
      <c r="E6" s="595"/>
      <c r="F6" s="578"/>
      <c r="G6" s="250" t="s">
        <v>232</v>
      </c>
      <c r="H6" s="250" t="s">
        <v>233</v>
      </c>
      <c r="I6" s="250" t="s">
        <v>234</v>
      </c>
      <c r="J6" s="598"/>
      <c r="K6" s="606" t="s">
        <v>235</v>
      </c>
      <c r="L6" s="606" t="s">
        <v>236</v>
      </c>
      <c r="M6" s="606" t="s">
        <v>237</v>
      </c>
      <c r="N6" s="606" t="s">
        <v>238</v>
      </c>
      <c r="O6" s="575" t="s">
        <v>239</v>
      </c>
      <c r="P6" s="575" t="s">
        <v>240</v>
      </c>
      <c r="Q6" s="575" t="s">
        <v>563</v>
      </c>
      <c r="R6" s="575" t="s">
        <v>242</v>
      </c>
      <c r="S6" s="575" t="s">
        <v>243</v>
      </c>
      <c r="T6" s="575" t="s">
        <v>244</v>
      </c>
      <c r="U6" s="575" t="s">
        <v>245</v>
      </c>
      <c r="V6" s="573"/>
      <c r="W6" s="573"/>
      <c r="X6" s="573"/>
      <c r="Y6" s="573"/>
      <c r="Z6" s="573"/>
      <c r="AA6" s="573"/>
      <c r="AB6" s="573"/>
      <c r="AC6" s="573"/>
      <c r="AD6" s="573"/>
      <c r="AE6" s="573"/>
      <c r="AF6" s="573"/>
      <c r="AG6" s="573"/>
      <c r="AH6" s="573"/>
      <c r="AI6" s="573"/>
      <c r="AJ6" s="573"/>
      <c r="AK6" s="582"/>
      <c r="AL6" s="580"/>
      <c r="AM6" s="584"/>
      <c r="AN6" s="582"/>
      <c r="AO6" s="578"/>
      <c r="AP6" s="580"/>
    </row>
    <row r="7" spans="1:42" s="458" customFormat="1" ht="21.5" customHeight="1">
      <c r="A7" s="579"/>
      <c r="B7" s="592"/>
      <c r="C7" s="582"/>
      <c r="D7" s="582"/>
      <c r="E7" s="595"/>
      <c r="F7" s="579"/>
      <c r="G7" s="451"/>
      <c r="H7" s="451"/>
      <c r="I7" s="451"/>
      <c r="J7" s="599"/>
      <c r="K7" s="607"/>
      <c r="L7" s="607"/>
      <c r="M7" s="607"/>
      <c r="N7" s="607"/>
      <c r="O7" s="576" t="s">
        <v>239</v>
      </c>
      <c r="P7" s="576" t="s">
        <v>240</v>
      </c>
      <c r="Q7" s="576" t="s">
        <v>241</v>
      </c>
      <c r="R7" s="576" t="s">
        <v>242</v>
      </c>
      <c r="S7" s="576" t="s">
        <v>243</v>
      </c>
      <c r="T7" s="576" t="s">
        <v>244</v>
      </c>
      <c r="U7" s="576" t="s">
        <v>245</v>
      </c>
      <c r="V7" s="574"/>
      <c r="W7" s="574"/>
      <c r="X7" s="574"/>
      <c r="Y7" s="574"/>
      <c r="Z7" s="574"/>
      <c r="AA7" s="574"/>
      <c r="AB7" s="574"/>
      <c r="AC7" s="574"/>
      <c r="AD7" s="574"/>
      <c r="AE7" s="574"/>
      <c r="AF7" s="574"/>
      <c r="AG7" s="574"/>
      <c r="AH7" s="574"/>
      <c r="AI7" s="574"/>
      <c r="AJ7" s="574"/>
      <c r="AK7" s="582"/>
      <c r="AL7" s="580"/>
      <c r="AM7" s="585"/>
      <c r="AN7" s="582"/>
      <c r="AO7" s="579"/>
      <c r="AP7" s="580"/>
    </row>
    <row r="8" spans="1:42" s="458" customFormat="1" ht="18" customHeight="1">
      <c r="A8" s="251"/>
      <c r="B8" s="251" t="s">
        <v>551</v>
      </c>
      <c r="C8" s="252"/>
      <c r="D8" s="252"/>
      <c r="E8" s="491"/>
      <c r="F8" s="252"/>
      <c r="G8" s="252"/>
      <c r="H8" s="252"/>
      <c r="I8" s="252"/>
      <c r="J8" s="252"/>
      <c r="K8" s="252"/>
      <c r="L8" s="252"/>
      <c r="M8" s="252"/>
      <c r="N8" s="252"/>
      <c r="O8" s="252"/>
      <c r="P8" s="252"/>
      <c r="Q8" s="252"/>
      <c r="R8" s="252"/>
      <c r="S8" s="252"/>
      <c r="T8" s="252"/>
      <c r="U8" s="252"/>
      <c r="V8" s="252"/>
      <c r="W8" s="252"/>
      <c r="X8" s="252"/>
      <c r="Y8" s="252"/>
      <c r="Z8" s="252"/>
      <c r="AA8" s="252"/>
      <c r="AB8" s="252"/>
      <c r="AC8" s="252"/>
      <c r="AD8" s="252"/>
      <c r="AE8" s="252"/>
      <c r="AF8" s="252"/>
      <c r="AG8" s="252"/>
      <c r="AH8" s="252"/>
      <c r="AI8" s="252"/>
      <c r="AJ8" s="252"/>
      <c r="AK8" s="252"/>
      <c r="AL8" s="252"/>
      <c r="AM8" s="252"/>
      <c r="AN8" s="252"/>
      <c r="AO8" s="252"/>
      <c r="AP8" s="252" t="e">
        <f>AP9+AP12+AP24+AP26+AP34+AP44+AP51+AP60+AP71+AP74+AP76+AP85+AP89+AP106+AP111+AP119+AP57+AP122+AP126+AP128+AP130+AP154+AP166+AP182</f>
        <v>#REF!</v>
      </c>
    </row>
    <row r="9" spans="1:42" s="459" customFormat="1">
      <c r="A9" s="253"/>
      <c r="B9" s="480"/>
      <c r="C9" s="254" t="s">
        <v>552</v>
      </c>
      <c r="D9" s="253"/>
      <c r="E9" s="492"/>
      <c r="F9" s="255"/>
      <c r="G9" s="255"/>
      <c r="H9" s="255"/>
      <c r="I9" s="256"/>
      <c r="J9" s="256"/>
      <c r="K9" s="256"/>
      <c r="L9" s="256"/>
      <c r="M9" s="256"/>
      <c r="N9" s="256"/>
      <c r="O9" s="256"/>
      <c r="P9" s="256"/>
      <c r="Q9" s="256"/>
      <c r="R9" s="256"/>
      <c r="S9" s="256"/>
      <c r="T9" s="256"/>
      <c r="U9" s="256"/>
      <c r="V9" s="257"/>
      <c r="W9" s="258"/>
      <c r="X9" s="256"/>
      <c r="Y9" s="259"/>
      <c r="Z9" s="256"/>
      <c r="AA9" s="256"/>
      <c r="AB9" s="256"/>
      <c r="AC9" s="256"/>
      <c r="AD9" s="260"/>
      <c r="AE9" s="260"/>
      <c r="AF9" s="260"/>
      <c r="AG9" s="260"/>
      <c r="AH9" s="260"/>
      <c r="AI9" s="260"/>
      <c r="AJ9" s="260"/>
      <c r="AK9" s="261" t="e">
        <f>SUM(AK10:AK11)</f>
        <v>#REF!</v>
      </c>
      <c r="AL9" s="261">
        <f t="shared" ref="AL9:AP9" si="0">SUM(AL10:AL11)</f>
        <v>1249.5</v>
      </c>
      <c r="AM9" s="261">
        <f t="shared" si="0"/>
        <v>11900</v>
      </c>
      <c r="AN9" s="261" t="e">
        <f t="shared" si="0"/>
        <v>#REF!</v>
      </c>
      <c r="AO9" s="261">
        <f t="shared" si="0"/>
        <v>0</v>
      </c>
      <c r="AP9" s="261" t="e">
        <f t="shared" si="0"/>
        <v>#REF!</v>
      </c>
    </row>
    <row r="10" spans="1:42" s="460" customFormat="1" ht="13.5" customHeight="1">
      <c r="A10" s="262"/>
      <c r="B10" s="469" t="s">
        <v>313</v>
      </c>
      <c r="C10" s="263" t="s">
        <v>415</v>
      </c>
      <c r="D10" s="264" t="s">
        <v>291</v>
      </c>
      <c r="E10" s="493">
        <v>37987</v>
      </c>
      <c r="F10" s="265">
        <v>2</v>
      </c>
      <c r="G10" s="266">
        <f>DATEDIF(E10,$J$3,"y")</f>
        <v>14</v>
      </c>
      <c r="H10" s="266">
        <f>DATEDIF(E10,$J$3,"ym")</f>
        <v>7</v>
      </c>
      <c r="I10" s="267">
        <f>DATEDIF(E10,$J$3,"md")</f>
        <v>24</v>
      </c>
      <c r="J10" s="267">
        <f>VLOOKUP(D10,'THANG B.LUONG'!$B$5:$I$513,F10+1,0)</f>
        <v>0</v>
      </c>
      <c r="K10" s="267">
        <v>0</v>
      </c>
      <c r="L10" s="267">
        <v>8000</v>
      </c>
      <c r="M10" s="267">
        <f>IF(G10&gt;=3,J10*(0.03+(G10-3)*0.01),0)</f>
        <v>0</v>
      </c>
      <c r="N10" s="267">
        <v>0</v>
      </c>
      <c r="O10" s="267">
        <v>1000</v>
      </c>
      <c r="P10" s="267">
        <v>2000</v>
      </c>
      <c r="Q10" s="267">
        <v>0</v>
      </c>
      <c r="R10" s="267">
        <v>0</v>
      </c>
      <c r="S10" s="267">
        <v>0</v>
      </c>
      <c r="T10" s="267">
        <v>4000</v>
      </c>
      <c r="U10" s="267">
        <v>0</v>
      </c>
      <c r="V10" s="268">
        <f t="shared" ref="V10:V95" si="1">SUM(J10:U10)-P10</f>
        <v>13000</v>
      </c>
      <c r="W10" s="269" t="e">
        <f>VLOOKUP(B10,#REF!,35,0)</f>
        <v>#REF!</v>
      </c>
      <c r="X10" s="267" t="e">
        <f>VLOOKUP(B10,#REF!,37,0)</f>
        <v>#REF!</v>
      </c>
      <c r="Y10" s="270" t="e">
        <f>VLOOKUP(B10,#REF!,38,0)</f>
        <v>#REF!</v>
      </c>
      <c r="Z10" s="267" t="e">
        <f>VLOOKUP(B10,#REF!,72,0)</f>
        <v>#REF!</v>
      </c>
      <c r="AA10" s="267" t="e">
        <f>VLOOKUP(B10,#REF!,71,0)</f>
        <v>#REF!</v>
      </c>
      <c r="AB10" s="267" t="e">
        <f>VLOOKUP(B10,#REF!,36,0)</f>
        <v>#REF!</v>
      </c>
      <c r="AC10" s="267"/>
      <c r="AD10" s="271"/>
      <c r="AE10" s="271"/>
      <c r="AF10" s="271"/>
      <c r="AG10" s="271"/>
      <c r="AH10" s="271"/>
      <c r="AI10" s="271"/>
      <c r="AJ10" s="271"/>
      <c r="AK10" s="268" t="e">
        <f>V10/#REF!*(W10+Z10/8*2+AA10/8*1.5+AB10*3)+J10/#REF!*(X10+Y10)+AC10+P10+AE10+AG10+AH10+AI10+AJ10</f>
        <v>#REF!</v>
      </c>
      <c r="AL10" s="267">
        <f t="shared" ref="AL10:AL87" si="2">AM10*$AN$3</f>
        <v>0</v>
      </c>
      <c r="AM10" s="271">
        <v>0</v>
      </c>
      <c r="AN10" s="272" t="e">
        <f>VLOOKUP(B10,#REF!,75,0)</f>
        <v>#REF!</v>
      </c>
      <c r="AO10" s="272"/>
      <c r="AP10" s="273" t="e">
        <f>ROUND(AK10-AL10-AN10+AO10,-1)</f>
        <v>#REF!</v>
      </c>
    </row>
    <row r="11" spans="1:42" s="459" customFormat="1">
      <c r="A11" s="262"/>
      <c r="B11" s="391" t="s">
        <v>314</v>
      </c>
      <c r="C11" s="274" t="s">
        <v>392</v>
      </c>
      <c r="D11" s="275" t="s">
        <v>246</v>
      </c>
      <c r="E11" s="493">
        <v>37347</v>
      </c>
      <c r="F11" s="265">
        <v>2</v>
      </c>
      <c r="G11" s="266">
        <f>DATEDIF(E11,$J$3,"y")</f>
        <v>16</v>
      </c>
      <c r="H11" s="266">
        <f>DATEDIF(E11,$J$3,"ym")</f>
        <v>4</v>
      </c>
      <c r="I11" s="267">
        <f>DATEDIF(E11,$J$3,"md")</f>
        <v>24</v>
      </c>
      <c r="J11" s="267">
        <f>VLOOKUP(D11,'THANG B.LUONG'!$B$5:$I$513,F11+1,0)</f>
        <v>0</v>
      </c>
      <c r="K11" s="267">
        <v>0</v>
      </c>
      <c r="L11" s="267">
        <v>6000</v>
      </c>
      <c r="M11" s="267">
        <f t="shared" ref="M11:M88" si="3">IF(G11&gt;=3,J11*(0.03+(G11-3)*0.01),0)</f>
        <v>0</v>
      </c>
      <c r="N11" s="267">
        <v>0</v>
      </c>
      <c r="O11" s="267">
        <v>1000</v>
      </c>
      <c r="P11" s="267">
        <v>2000</v>
      </c>
      <c r="Q11" s="267">
        <v>0</v>
      </c>
      <c r="R11" s="267">
        <v>0</v>
      </c>
      <c r="S11" s="267">
        <v>0</v>
      </c>
      <c r="T11" s="267">
        <v>4000</v>
      </c>
      <c r="U11" s="267">
        <v>0</v>
      </c>
      <c r="V11" s="268">
        <f t="shared" si="1"/>
        <v>11000</v>
      </c>
      <c r="W11" s="269" t="e">
        <f>VLOOKUP(B11,#REF!,35,0)</f>
        <v>#REF!</v>
      </c>
      <c r="X11" s="267" t="e">
        <f>VLOOKUP(B11,#REF!,37,0)</f>
        <v>#REF!</v>
      </c>
      <c r="Y11" s="270" t="e">
        <f>VLOOKUP(B11,#REF!,38,0)</f>
        <v>#REF!</v>
      </c>
      <c r="Z11" s="267" t="e">
        <f>VLOOKUP(B11,#REF!,72,0)</f>
        <v>#REF!</v>
      </c>
      <c r="AA11" s="267" t="e">
        <f>VLOOKUP(B11,#REF!,71,0)</f>
        <v>#REF!</v>
      </c>
      <c r="AB11" s="267" t="e">
        <f>VLOOKUP(B11,#REF!,36,0)</f>
        <v>#REF!</v>
      </c>
      <c r="AC11" s="267"/>
      <c r="AD11" s="271"/>
      <c r="AE11" s="271"/>
      <c r="AF11" s="271"/>
      <c r="AG11" s="271"/>
      <c r="AH11" s="271"/>
      <c r="AI11" s="271"/>
      <c r="AJ11" s="271"/>
      <c r="AK11" s="268" t="e">
        <f>V11/#REF!*(W11+Z11/8*2+AA11/8*1.5+AB11*3)+J11/#REF!*(X11+Y11)+AC11+P11+AE11+AG11+AH11+AI11+AJ11</f>
        <v>#REF!</v>
      </c>
      <c r="AL11" s="267">
        <f>AM11*$AN$3</f>
        <v>1249.5</v>
      </c>
      <c r="AM11" s="385">
        <v>11900</v>
      </c>
      <c r="AN11" s="272" t="e">
        <f>VLOOKUP(B11,#REF!,75,0)</f>
        <v>#REF!</v>
      </c>
      <c r="AO11" s="272"/>
      <c r="AP11" s="273" t="e">
        <f>ROUND(AK11-AL11-AN11+AO11,-1)</f>
        <v>#REF!</v>
      </c>
    </row>
    <row r="12" spans="1:42" s="459" customFormat="1">
      <c r="A12" s="276"/>
      <c r="B12" s="470"/>
      <c r="C12" s="276" t="s">
        <v>540</v>
      </c>
      <c r="D12" s="277"/>
      <c r="E12" s="494"/>
      <c r="F12" s="235"/>
      <c r="G12" s="235"/>
      <c r="H12" s="235"/>
      <c r="I12" s="235"/>
      <c r="J12" s="235"/>
      <c r="K12" s="235"/>
      <c r="L12" s="235"/>
      <c r="M12" s="235"/>
      <c r="N12" s="235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  <c r="AA12" s="235"/>
      <c r="AB12" s="235"/>
      <c r="AC12" s="235"/>
      <c r="AD12" s="235"/>
      <c r="AE12" s="235"/>
      <c r="AF12" s="235"/>
      <c r="AG12" s="235"/>
      <c r="AH12" s="235"/>
      <c r="AI12" s="235"/>
      <c r="AJ12" s="235"/>
      <c r="AK12" s="261" t="e">
        <f>SUM(AK13:AK23)</f>
        <v>#REF!</v>
      </c>
      <c r="AL12" s="261">
        <f t="shared" ref="AL12:AP12" si="4">SUM(AL13:AL23)</f>
        <v>2864.085</v>
      </c>
      <c r="AM12" s="261">
        <f t="shared" si="4"/>
        <v>27277</v>
      </c>
      <c r="AN12" s="261" t="e">
        <f t="shared" si="4"/>
        <v>#REF!</v>
      </c>
      <c r="AO12" s="261">
        <f t="shared" si="4"/>
        <v>0</v>
      </c>
      <c r="AP12" s="261" t="e">
        <f t="shared" si="4"/>
        <v>#REF!</v>
      </c>
    </row>
    <row r="13" spans="1:42" s="459" customFormat="1">
      <c r="A13" s="262"/>
      <c r="B13" s="469" t="s">
        <v>315</v>
      </c>
      <c r="C13" s="278" t="s">
        <v>393</v>
      </c>
      <c r="D13" s="279" t="s">
        <v>247</v>
      </c>
      <c r="E13" s="493">
        <v>40040</v>
      </c>
      <c r="F13" s="265">
        <v>1</v>
      </c>
      <c r="G13" s="266">
        <f t="shared" ref="G13:G23" si="5">DATEDIF(E13,$J$3,"y")</f>
        <v>9</v>
      </c>
      <c r="H13" s="266">
        <f t="shared" ref="H13:H23" si="6">DATEDIF(E13,$J$3,"ym")</f>
        <v>0</v>
      </c>
      <c r="I13" s="267">
        <f t="shared" ref="I13:I23" si="7">DATEDIF(E13,$J$3,"md")</f>
        <v>10</v>
      </c>
      <c r="J13" s="267">
        <f>VLOOKUP(D13,'THANG B.LUONG'!$B$5:$I$513,F13+1,0)</f>
        <v>0</v>
      </c>
      <c r="K13" s="267">
        <v>0</v>
      </c>
      <c r="L13" s="267">
        <v>3000</v>
      </c>
      <c r="M13" s="267">
        <f t="shared" si="3"/>
        <v>0</v>
      </c>
      <c r="N13" s="267">
        <v>0</v>
      </c>
      <c r="O13" s="267">
        <v>1000</v>
      </c>
      <c r="P13" s="267">
        <v>1000</v>
      </c>
      <c r="Q13" s="267">
        <v>0</v>
      </c>
      <c r="R13" s="267">
        <v>0</v>
      </c>
      <c r="S13" s="267">
        <v>0</v>
      </c>
      <c r="T13" s="267">
        <v>0</v>
      </c>
      <c r="U13" s="267">
        <v>0</v>
      </c>
      <c r="V13" s="268">
        <f t="shared" si="1"/>
        <v>4000</v>
      </c>
      <c r="W13" s="269" t="e">
        <f>VLOOKUP(B13,#REF!,35,0)</f>
        <v>#REF!</v>
      </c>
      <c r="X13" s="267" t="e">
        <f>VLOOKUP(B13,#REF!,37,0)</f>
        <v>#REF!</v>
      </c>
      <c r="Y13" s="270" t="e">
        <f>VLOOKUP(B13,#REF!,38,0)</f>
        <v>#REF!</v>
      </c>
      <c r="Z13" s="267" t="e">
        <f>VLOOKUP(B13,#REF!,72,0)</f>
        <v>#REF!</v>
      </c>
      <c r="AA13" s="267" t="e">
        <f>VLOOKUP(B13,#REF!,71,0)</f>
        <v>#REF!</v>
      </c>
      <c r="AB13" s="267" t="e">
        <f>VLOOKUP(B13,#REF!,36,0)</f>
        <v>#REF!</v>
      </c>
      <c r="AC13" s="267"/>
      <c r="AD13" s="271"/>
      <c r="AE13" s="271"/>
      <c r="AF13" s="271"/>
      <c r="AG13" s="271"/>
      <c r="AH13" s="271"/>
      <c r="AI13" s="271"/>
      <c r="AJ13" s="271"/>
      <c r="AK13" s="268" t="e">
        <f>V13/#REF!*(W13+Z13/8*2+AA13/8*1.5+AB13*3)+J13/#REF!*(X13+Y13)+AC13+P13+AE13+AG13+AH13+AI13+AJ13</f>
        <v>#REF!</v>
      </c>
      <c r="AL13" s="267">
        <f t="shared" si="2"/>
        <v>871.5</v>
      </c>
      <c r="AM13" s="385">
        <v>8300</v>
      </c>
      <c r="AN13" s="272" t="e">
        <f>VLOOKUP(B13,#REF!,75,0)</f>
        <v>#REF!</v>
      </c>
      <c r="AO13" s="272"/>
      <c r="AP13" s="273" t="e">
        <f t="shared" ref="AP13:AP23" si="8">ROUND(AK13-AL13-AN13+AO13,-1)</f>
        <v>#REF!</v>
      </c>
    </row>
    <row r="14" spans="1:42" s="459" customFormat="1" ht="13.5" customHeight="1">
      <c r="A14" s="325"/>
      <c r="B14" s="471" t="s">
        <v>316</v>
      </c>
      <c r="C14" s="315" t="s">
        <v>394</v>
      </c>
      <c r="D14" s="326" t="s">
        <v>248</v>
      </c>
      <c r="E14" s="495">
        <v>41838</v>
      </c>
      <c r="F14" s="327">
        <v>2</v>
      </c>
      <c r="G14" s="326">
        <f t="shared" si="5"/>
        <v>4</v>
      </c>
      <c r="H14" s="326">
        <f t="shared" si="6"/>
        <v>1</v>
      </c>
      <c r="I14" s="321">
        <f t="shared" si="7"/>
        <v>7</v>
      </c>
      <c r="J14" s="321">
        <f>VLOOKUP(D14,'THANG B.LUONG'!$B$5:$I$513,F14+1,0)</f>
        <v>0</v>
      </c>
      <c r="K14" s="321">
        <v>0</v>
      </c>
      <c r="L14" s="321">
        <v>200</v>
      </c>
      <c r="M14" s="321">
        <f t="shared" si="3"/>
        <v>0</v>
      </c>
      <c r="N14" s="321">
        <v>0</v>
      </c>
      <c r="O14" s="321">
        <v>0</v>
      </c>
      <c r="P14" s="321">
        <v>0</v>
      </c>
      <c r="Q14" s="321">
        <v>0</v>
      </c>
      <c r="R14" s="321">
        <v>0</v>
      </c>
      <c r="S14" s="321">
        <v>0</v>
      </c>
      <c r="T14" s="321">
        <v>0</v>
      </c>
      <c r="U14" s="321">
        <v>0</v>
      </c>
      <c r="V14" s="328">
        <f t="shared" si="1"/>
        <v>200</v>
      </c>
      <c r="W14" s="329" t="e">
        <f>VLOOKUP(B14,#REF!,35,0)</f>
        <v>#REF!</v>
      </c>
      <c r="X14" s="321" t="e">
        <f>VLOOKUP(B14,#REF!,37,0)</f>
        <v>#REF!</v>
      </c>
      <c r="Y14" s="321" t="e">
        <f>VLOOKUP(B14,#REF!,38,0)</f>
        <v>#REF!</v>
      </c>
      <c r="Z14" s="321" t="e">
        <f>VLOOKUP(B14,#REF!,72,0)</f>
        <v>#REF!</v>
      </c>
      <c r="AA14" s="321" t="e">
        <f>VLOOKUP(B14,#REF!,71,0)</f>
        <v>#REF!</v>
      </c>
      <c r="AB14" s="321" t="e">
        <f>VLOOKUP(B14,#REF!,36,0)</f>
        <v>#REF!</v>
      </c>
      <c r="AC14" s="321"/>
      <c r="AD14" s="321"/>
      <c r="AE14" s="321"/>
      <c r="AF14" s="321"/>
      <c r="AG14" s="321"/>
      <c r="AH14" s="321"/>
      <c r="AI14" s="321"/>
      <c r="AJ14" s="321"/>
      <c r="AK14" s="328" t="e">
        <f>V14/#REF!*(W14+Z14/8*2+AA14/8*1.5+AB14*3)+J14/#REF!*(X14+Y14)+AC14+P14+AE14+AG14+AH14+AI14+AJ14</f>
        <v>#REF!</v>
      </c>
      <c r="AL14" s="321">
        <f t="shared" si="2"/>
        <v>480.58499999999998</v>
      </c>
      <c r="AM14" s="321">
        <v>4577</v>
      </c>
      <c r="AN14" s="330" t="e">
        <f>VLOOKUP(B14,#REF!,75,0)</f>
        <v>#REF!</v>
      </c>
      <c r="AO14" s="330"/>
      <c r="AP14" s="331" t="e">
        <f>ROUND(AK14-AL14-AN14+AO14,-1)</f>
        <v>#REF!</v>
      </c>
    </row>
    <row r="15" spans="1:42" s="460" customFormat="1">
      <c r="A15" s="262"/>
      <c r="B15" s="391" t="s">
        <v>526</v>
      </c>
      <c r="C15" s="232" t="s">
        <v>396</v>
      </c>
      <c r="D15" s="280" t="s">
        <v>249</v>
      </c>
      <c r="E15" s="493">
        <v>40045</v>
      </c>
      <c r="F15" s="265">
        <v>2</v>
      </c>
      <c r="G15" s="266">
        <f t="shared" si="5"/>
        <v>9</v>
      </c>
      <c r="H15" s="266">
        <f t="shared" si="6"/>
        <v>0</v>
      </c>
      <c r="I15" s="267">
        <f t="shared" si="7"/>
        <v>5</v>
      </c>
      <c r="J15" s="267">
        <f>VLOOKUP(D15,'THANG B.LUONG'!$B$5:$I$513,F15+1,0)</f>
        <v>0</v>
      </c>
      <c r="K15" s="267">
        <v>0</v>
      </c>
      <c r="L15" s="267">
        <v>0</v>
      </c>
      <c r="M15" s="267">
        <f t="shared" si="3"/>
        <v>0</v>
      </c>
      <c r="N15" s="267">
        <v>0</v>
      </c>
      <c r="O15" s="267">
        <v>0</v>
      </c>
      <c r="P15" s="267">
        <v>0</v>
      </c>
      <c r="Q15" s="267">
        <v>0</v>
      </c>
      <c r="R15" s="267">
        <v>0</v>
      </c>
      <c r="S15" s="267">
        <v>0</v>
      </c>
      <c r="T15" s="267">
        <v>0</v>
      </c>
      <c r="U15" s="267">
        <v>0</v>
      </c>
      <c r="V15" s="268">
        <f>SUM(J15:U15)-P15</f>
        <v>0</v>
      </c>
      <c r="W15" s="269" t="e">
        <f>VLOOKUP(B15,#REF!,35,0)</f>
        <v>#REF!</v>
      </c>
      <c r="X15" s="267" t="e">
        <f>VLOOKUP(B15,#REF!,37,0)</f>
        <v>#REF!</v>
      </c>
      <c r="Y15" s="270" t="e">
        <f>VLOOKUP(B15,#REF!,38,0)</f>
        <v>#REF!</v>
      </c>
      <c r="Z15" s="267" t="e">
        <f>VLOOKUP(B15,#REF!,72,0)</f>
        <v>#REF!</v>
      </c>
      <c r="AA15" s="267" t="e">
        <f>VLOOKUP(B15,#REF!,71,0)</f>
        <v>#REF!</v>
      </c>
      <c r="AB15" s="267" t="e">
        <f>VLOOKUP(B15,#REF!,36,0)</f>
        <v>#REF!</v>
      </c>
      <c r="AC15" s="267"/>
      <c r="AD15" s="271"/>
      <c r="AE15" s="271"/>
      <c r="AF15" s="271"/>
      <c r="AG15" s="271"/>
      <c r="AH15" s="271"/>
      <c r="AI15" s="271"/>
      <c r="AJ15" s="271"/>
      <c r="AK15" s="268" t="e">
        <f>V15/#REF!*(W15+Z15/8*2+AA15/8*1.5+AB15*3)+J15/#REF!*(X15+Y15)+AC15+P15+AE15+AG15+AH15+AI15+AJ15</f>
        <v>#REF!</v>
      </c>
      <c r="AL15" s="267">
        <f t="shared" si="2"/>
        <v>504</v>
      </c>
      <c r="AM15" s="414">
        <v>4800</v>
      </c>
      <c r="AN15" s="272" t="e">
        <f>VLOOKUP(B15,#REF!,75,0)</f>
        <v>#REF!</v>
      </c>
      <c r="AO15" s="272"/>
      <c r="AP15" s="273" t="e">
        <f t="shared" si="8"/>
        <v>#REF!</v>
      </c>
    </row>
    <row r="16" spans="1:42" s="459" customFormat="1" ht="13.5" customHeight="1">
      <c r="A16" s="262"/>
      <c r="B16" s="391" t="s">
        <v>318</v>
      </c>
      <c r="C16" s="232" t="s">
        <v>395</v>
      </c>
      <c r="D16" s="280" t="s">
        <v>249</v>
      </c>
      <c r="E16" s="493">
        <v>42842</v>
      </c>
      <c r="F16" s="265">
        <v>2</v>
      </c>
      <c r="G16" s="266">
        <f t="shared" si="5"/>
        <v>1</v>
      </c>
      <c r="H16" s="266">
        <f t="shared" si="6"/>
        <v>4</v>
      </c>
      <c r="I16" s="267">
        <f t="shared" si="7"/>
        <v>8</v>
      </c>
      <c r="J16" s="267">
        <f>VLOOKUP(D16,'THANG B.LUONG'!$B$5:$I$513,F16+1,0)</f>
        <v>0</v>
      </c>
      <c r="K16" s="267">
        <v>0</v>
      </c>
      <c r="L16" s="267">
        <v>0</v>
      </c>
      <c r="M16" s="267">
        <f t="shared" si="3"/>
        <v>0</v>
      </c>
      <c r="N16" s="267">
        <v>0</v>
      </c>
      <c r="O16" s="267">
        <v>0</v>
      </c>
      <c r="P16" s="267">
        <v>0</v>
      </c>
      <c r="Q16" s="267">
        <v>0</v>
      </c>
      <c r="R16" s="267">
        <v>0</v>
      </c>
      <c r="S16" s="267">
        <v>0</v>
      </c>
      <c r="T16" s="267">
        <v>0</v>
      </c>
      <c r="U16" s="267">
        <v>0</v>
      </c>
      <c r="V16" s="268">
        <f t="shared" si="1"/>
        <v>0</v>
      </c>
      <c r="W16" s="269" t="e">
        <f>VLOOKUP(B16,#REF!,35,0)</f>
        <v>#REF!</v>
      </c>
      <c r="X16" s="267" t="e">
        <f>VLOOKUP(B16,#REF!,37,0)</f>
        <v>#REF!</v>
      </c>
      <c r="Y16" s="270" t="e">
        <f>VLOOKUP(B16,#REF!,38,0)</f>
        <v>#REF!</v>
      </c>
      <c r="Z16" s="267" t="e">
        <f>VLOOKUP(B16,#REF!,72,0)</f>
        <v>#REF!</v>
      </c>
      <c r="AA16" s="267" t="e">
        <f>VLOOKUP(B16,#REF!,71,0)</f>
        <v>#REF!</v>
      </c>
      <c r="AB16" s="267" t="e">
        <f>VLOOKUP(B16,#REF!,36,0)</f>
        <v>#REF!</v>
      </c>
      <c r="AC16" s="267"/>
      <c r="AD16" s="271"/>
      <c r="AE16" s="271"/>
      <c r="AF16" s="271"/>
      <c r="AG16" s="271"/>
      <c r="AH16" s="271"/>
      <c r="AI16" s="271"/>
      <c r="AJ16" s="271"/>
      <c r="AK16" s="268" t="e">
        <f>V16/#REF!*(W16+Z16/8*2+AA16/8*1.5+AB16*3)+J16/#REF!*(X16+Y16)+AC16+P16+AE16+AG16+AH16+AI16+AJ16</f>
        <v>#REF!</v>
      </c>
      <c r="AL16" s="267">
        <f t="shared" si="2"/>
        <v>504</v>
      </c>
      <c r="AM16" s="414">
        <v>4800</v>
      </c>
      <c r="AN16" s="272" t="e">
        <f>VLOOKUP(B16,#REF!,75,0)</f>
        <v>#REF!</v>
      </c>
      <c r="AO16" s="272"/>
      <c r="AP16" s="273" t="e">
        <f t="shared" si="8"/>
        <v>#REF!</v>
      </c>
    </row>
    <row r="17" spans="1:42" s="459" customFormat="1">
      <c r="A17" s="262"/>
      <c r="B17" s="391" t="s">
        <v>317</v>
      </c>
      <c r="C17" s="232" t="s">
        <v>416</v>
      </c>
      <c r="D17" s="282" t="s">
        <v>292</v>
      </c>
      <c r="E17" s="493">
        <v>43101</v>
      </c>
      <c r="F17" s="265">
        <v>3</v>
      </c>
      <c r="G17" s="266">
        <f t="shared" si="5"/>
        <v>0</v>
      </c>
      <c r="H17" s="266">
        <f t="shared" si="6"/>
        <v>7</v>
      </c>
      <c r="I17" s="267">
        <f t="shared" si="7"/>
        <v>24</v>
      </c>
      <c r="J17" s="267">
        <f>VLOOKUP(D17,'THANG B.LUONG'!$B$5:$I$513,F17+1,0)</f>
        <v>15890</v>
      </c>
      <c r="K17" s="267">
        <v>0</v>
      </c>
      <c r="L17" s="267">
        <v>1000</v>
      </c>
      <c r="M17" s="267">
        <f t="shared" si="3"/>
        <v>0</v>
      </c>
      <c r="N17" s="267">
        <v>0</v>
      </c>
      <c r="O17" s="267">
        <v>200</v>
      </c>
      <c r="P17" s="267">
        <v>200</v>
      </c>
      <c r="Q17" s="267">
        <v>0</v>
      </c>
      <c r="R17" s="267">
        <v>0</v>
      </c>
      <c r="S17" s="267">
        <v>0</v>
      </c>
      <c r="T17" s="267">
        <v>0</v>
      </c>
      <c r="U17" s="267">
        <v>0</v>
      </c>
      <c r="V17" s="268">
        <f t="shared" si="1"/>
        <v>17090</v>
      </c>
      <c r="W17" s="269" t="e">
        <f>VLOOKUP(B17,#REF!,35,0)</f>
        <v>#REF!</v>
      </c>
      <c r="X17" s="267" t="e">
        <f>VLOOKUP(B17,#REF!,37,0)</f>
        <v>#REF!</v>
      </c>
      <c r="Y17" s="270" t="e">
        <f>VLOOKUP(B17,#REF!,38,0)</f>
        <v>#REF!</v>
      </c>
      <c r="Z17" s="267" t="e">
        <f>VLOOKUP(B17,#REF!,72,0)</f>
        <v>#REF!</v>
      </c>
      <c r="AA17" s="267" t="e">
        <f>VLOOKUP(B17,#REF!,71,0)</f>
        <v>#REF!</v>
      </c>
      <c r="AB17" s="267" t="e">
        <f>VLOOKUP(B17,#REF!,36,0)</f>
        <v>#REF!</v>
      </c>
      <c r="AC17" s="267"/>
      <c r="AD17" s="271"/>
      <c r="AE17" s="271"/>
      <c r="AF17" s="271"/>
      <c r="AG17" s="271"/>
      <c r="AH17" s="386"/>
      <c r="AI17" s="271"/>
      <c r="AJ17" s="271"/>
      <c r="AK17" s="268" t="e">
        <f>V17/#REF!*(W17+Z17/8*2+AA17/8*1.5+AB17*3)+J17/#REF!*(X17+Y17)+AC17+P17+AE17+AG17+AH17+AI17+AJ17</f>
        <v>#REF!</v>
      </c>
      <c r="AL17" s="267">
        <f t="shared" si="2"/>
        <v>0</v>
      </c>
      <c r="AM17" s="271">
        <v>0</v>
      </c>
      <c r="AN17" s="272" t="e">
        <f>VLOOKUP(B17,#REF!,75,0)</f>
        <v>#REF!</v>
      </c>
      <c r="AO17" s="272"/>
      <c r="AP17" s="273" t="e">
        <f t="shared" si="8"/>
        <v>#REF!</v>
      </c>
    </row>
    <row r="18" spans="1:42" s="459" customFormat="1">
      <c r="A18" s="262"/>
      <c r="B18" s="391" t="s">
        <v>606</v>
      </c>
      <c r="C18" s="232" t="s">
        <v>605</v>
      </c>
      <c r="D18" s="280" t="s">
        <v>292</v>
      </c>
      <c r="E18" s="493">
        <v>43137</v>
      </c>
      <c r="F18" s="265">
        <v>6</v>
      </c>
      <c r="G18" s="266">
        <f>DATEDIF(E18,$J$3,"y")</f>
        <v>0</v>
      </c>
      <c r="H18" s="266">
        <f>DATEDIF(E18,$J$3,"ym")</f>
        <v>6</v>
      </c>
      <c r="I18" s="267">
        <f>DATEDIF(E18,$J$3,"md")</f>
        <v>19</v>
      </c>
      <c r="J18" s="267">
        <f>VLOOKUP(D18,'THANG B.LUONG'!$B$5:$I$513,F18+1,0)</f>
        <v>22330</v>
      </c>
      <c r="K18" s="267">
        <v>0</v>
      </c>
      <c r="L18" s="267">
        <v>1000</v>
      </c>
      <c r="M18" s="267">
        <f>IF(G18&gt;=3,J18*(0.03+(G18-3)*0.01),0)</f>
        <v>0</v>
      </c>
      <c r="N18" s="267">
        <v>0</v>
      </c>
      <c r="O18" s="267">
        <v>200</v>
      </c>
      <c r="P18" s="267">
        <v>200</v>
      </c>
      <c r="Q18" s="267">
        <v>0</v>
      </c>
      <c r="R18" s="267">
        <v>0</v>
      </c>
      <c r="S18" s="267">
        <v>0</v>
      </c>
      <c r="T18" s="267">
        <v>0</v>
      </c>
      <c r="U18" s="267">
        <v>6200</v>
      </c>
      <c r="V18" s="268">
        <f>SUM(J18:U18)-P18</f>
        <v>29730</v>
      </c>
      <c r="W18" s="269" t="e">
        <f>VLOOKUP(B18,#REF!,35,0)</f>
        <v>#REF!</v>
      </c>
      <c r="X18" s="267" t="e">
        <f>VLOOKUP(B18,#REF!,37,0)</f>
        <v>#REF!</v>
      </c>
      <c r="Y18" s="270" t="e">
        <f>VLOOKUP(B18,#REF!,38,0)</f>
        <v>#REF!</v>
      </c>
      <c r="Z18" s="267" t="e">
        <f>VLOOKUP(B18,#REF!,72,0)</f>
        <v>#REF!</v>
      </c>
      <c r="AA18" s="267" t="e">
        <f>VLOOKUP(B18,#REF!,71,0)</f>
        <v>#REF!</v>
      </c>
      <c r="AB18" s="267" t="e">
        <f>VLOOKUP(B18,#REF!,36,0)</f>
        <v>#REF!</v>
      </c>
      <c r="AC18" s="267"/>
      <c r="AD18" s="271"/>
      <c r="AE18" s="271"/>
      <c r="AF18" s="271"/>
      <c r="AG18" s="271"/>
      <c r="AH18" s="386"/>
      <c r="AI18" s="271"/>
      <c r="AJ18" s="271"/>
      <c r="AK18" s="268" t="e">
        <f>V18/#REF!*(W18+Z18/8*2+AA18/8*1.5+AB18*3)+J18/#REF!*(X18+Y18)+AC18+P18+AE18+AG18+AH18+AI18+AJ18</f>
        <v>#REF!</v>
      </c>
      <c r="AL18" s="267">
        <f>AM18*$AN$3</f>
        <v>0</v>
      </c>
      <c r="AM18" s="271">
        <v>0</v>
      </c>
      <c r="AN18" s="272" t="e">
        <f>VLOOKUP(B18,#REF!,75,0)</f>
        <v>#REF!</v>
      </c>
      <c r="AO18" s="272"/>
      <c r="AP18" s="273" t="e">
        <f>ROUND(AK18-AL18-AN18+AO18,-1)</f>
        <v>#REF!</v>
      </c>
    </row>
    <row r="19" spans="1:42" s="459" customFormat="1">
      <c r="A19" s="262"/>
      <c r="B19" s="391" t="s">
        <v>175</v>
      </c>
      <c r="C19" s="232" t="s">
        <v>224</v>
      </c>
      <c r="D19" s="280" t="str">
        <f>'THANG B.LUONG'!$B$49</f>
        <v>Tài xế</v>
      </c>
      <c r="E19" s="493">
        <v>43040</v>
      </c>
      <c r="F19" s="265">
        <v>5</v>
      </c>
      <c r="G19" s="266">
        <f t="shared" si="5"/>
        <v>0</v>
      </c>
      <c r="H19" s="266">
        <f t="shared" si="6"/>
        <v>9</v>
      </c>
      <c r="I19" s="267">
        <f t="shared" si="7"/>
        <v>24</v>
      </c>
      <c r="J19" s="267">
        <f>VLOOKUP(D19,'THANG B.LUONG'!$B$5:$I$513,F19+1,0)</f>
        <v>0</v>
      </c>
      <c r="K19" s="267">
        <v>0</v>
      </c>
      <c r="L19" s="267">
        <v>0</v>
      </c>
      <c r="M19" s="267">
        <f t="shared" si="3"/>
        <v>0</v>
      </c>
      <c r="N19" s="267">
        <v>0</v>
      </c>
      <c r="O19" s="267">
        <v>0</v>
      </c>
      <c r="P19" s="267">
        <v>0</v>
      </c>
      <c r="Q19" s="267">
        <v>0</v>
      </c>
      <c r="R19" s="267">
        <v>0</v>
      </c>
      <c r="S19" s="267">
        <v>0</v>
      </c>
      <c r="T19" s="267">
        <v>0</v>
      </c>
      <c r="U19" s="385">
        <v>2660</v>
      </c>
      <c r="V19" s="268">
        <f>SUM(J19:U19)-P19</f>
        <v>2660</v>
      </c>
      <c r="W19" s="269" t="e">
        <f>VLOOKUP(B19,#REF!,35,0)</f>
        <v>#REF!</v>
      </c>
      <c r="X19" s="267" t="e">
        <f>VLOOKUP(B19,#REF!,37,0)</f>
        <v>#REF!</v>
      </c>
      <c r="Y19" s="270" t="e">
        <f>VLOOKUP(B19,#REF!,38,0)</f>
        <v>#REF!</v>
      </c>
      <c r="Z19" s="267" t="e">
        <f>VLOOKUP(B19,#REF!,72,0)</f>
        <v>#REF!</v>
      </c>
      <c r="AA19" s="267" t="e">
        <f>VLOOKUP(B19,#REF!,71,0)</f>
        <v>#REF!</v>
      </c>
      <c r="AB19" s="267" t="e">
        <f>VLOOKUP(B19,#REF!,36,0)</f>
        <v>#REF!</v>
      </c>
      <c r="AC19" s="267"/>
      <c r="AD19" s="271"/>
      <c r="AE19" s="271"/>
      <c r="AF19" s="271"/>
      <c r="AG19" s="271"/>
      <c r="AH19" s="271"/>
      <c r="AI19" s="271"/>
      <c r="AJ19" s="271"/>
      <c r="AK19" s="268" t="e">
        <f>V19/#REF!*(W19+Z19/8*2+AA19/8*1.5+AB19*3)+J19/#REF!*(X19+Y19)+AC19+P19+AE19+AG19+AH19+AI19+AJ19</f>
        <v>#REF!</v>
      </c>
      <c r="AL19" s="267">
        <f t="shared" si="2"/>
        <v>0</v>
      </c>
      <c r="AM19" s="271">
        <v>0</v>
      </c>
      <c r="AN19" s="272" t="e">
        <f>VLOOKUP(B19,#REF!,75,0)</f>
        <v>#REF!</v>
      </c>
      <c r="AO19" s="272"/>
      <c r="AP19" s="273" t="e">
        <f t="shared" si="8"/>
        <v>#REF!</v>
      </c>
    </row>
    <row r="20" spans="1:42" s="506" customFormat="1">
      <c r="A20" s="297"/>
      <c r="B20" s="391" t="s">
        <v>717</v>
      </c>
      <c r="C20" s="448" t="s">
        <v>718</v>
      </c>
      <c r="D20" s="443" t="str">
        <f>'THANG B.LUONG'!$B$49</f>
        <v>Tài xế</v>
      </c>
      <c r="E20" s="496">
        <v>43228</v>
      </c>
      <c r="F20" s="449">
        <v>5</v>
      </c>
      <c r="G20" s="541">
        <f>DATEDIF(E20,$J$3,"y")</f>
        <v>0</v>
      </c>
      <c r="H20" s="541">
        <f>DATEDIF(E20,$J$3,"ym")</f>
        <v>3</v>
      </c>
      <c r="I20" s="438">
        <f>DATEDIF(E20,$J$3,"md")</f>
        <v>17</v>
      </c>
      <c r="J20" s="438">
        <f>VLOOKUP(D20,'THANG B.LUONG'!$B$5:$I$513,F20+1,0)</f>
        <v>0</v>
      </c>
      <c r="K20" s="438">
        <v>0</v>
      </c>
      <c r="L20" s="438">
        <v>0</v>
      </c>
      <c r="M20" s="438">
        <f>IF(G20&gt;=3,J20*(0.03+(G20-3)*0.01),0)</f>
        <v>0</v>
      </c>
      <c r="N20" s="438">
        <v>0</v>
      </c>
      <c r="O20" s="438">
        <v>0</v>
      </c>
      <c r="P20" s="438">
        <v>0</v>
      </c>
      <c r="Q20" s="438">
        <v>0</v>
      </c>
      <c r="R20" s="438">
        <v>0</v>
      </c>
      <c r="S20" s="438">
        <v>0</v>
      </c>
      <c r="T20" s="438">
        <v>0</v>
      </c>
      <c r="U20" s="385">
        <v>2660</v>
      </c>
      <c r="V20" s="268">
        <f>SUM(J20:U20)-P20</f>
        <v>2660</v>
      </c>
      <c r="W20" s="269" t="e">
        <f>VLOOKUP(B20,#REF!,35,0)</f>
        <v>#REF!</v>
      </c>
      <c r="X20" s="438" t="e">
        <f>VLOOKUP(B20,#REF!,37,0)</f>
        <v>#REF!</v>
      </c>
      <c r="Y20" s="437" t="e">
        <f>VLOOKUP(B20,#REF!,38,0)</f>
        <v>#REF!</v>
      </c>
      <c r="Z20" s="438" t="e">
        <f>VLOOKUP(B20,#REF!,72,0)</f>
        <v>#REF!</v>
      </c>
      <c r="AA20" s="438" t="e">
        <f>VLOOKUP(B20,#REF!,71,0)</f>
        <v>#REF!</v>
      </c>
      <c r="AB20" s="438" t="e">
        <f>VLOOKUP(B20,#REF!,36,0)</f>
        <v>#REF!</v>
      </c>
      <c r="AC20" s="438"/>
      <c r="AD20" s="385"/>
      <c r="AE20" s="385"/>
      <c r="AF20" s="385"/>
      <c r="AG20" s="385"/>
      <c r="AH20" s="385"/>
      <c r="AI20" s="385"/>
      <c r="AJ20" s="385"/>
      <c r="AK20" s="542" t="e">
        <f>V20/#REF!*(W20+Z20/8*2+AA20/8*1.5+AB20*3)+J20/#REF!*(X20+Y20)+AC20+P20+AE20+AG20+AH20+AI20+AJ20</f>
        <v>#REF!</v>
      </c>
      <c r="AL20" s="438">
        <f>AM20*$AN$3</f>
        <v>0</v>
      </c>
      <c r="AM20" s="414">
        <v>0</v>
      </c>
      <c r="AN20" s="439">
        <v>0</v>
      </c>
      <c r="AO20" s="439"/>
      <c r="AP20" s="442" t="e">
        <f>ROUND(AK20-AL20-AN20+AO20,-1)</f>
        <v>#REF!</v>
      </c>
    </row>
    <row r="21" spans="1:42" s="559" customFormat="1">
      <c r="A21" s="547"/>
      <c r="B21" s="511" t="s">
        <v>753</v>
      </c>
      <c r="C21" s="552" t="s">
        <v>754</v>
      </c>
      <c r="D21" s="553" t="str">
        <f>'THANG B.LUONG'!$B$49</f>
        <v>Tài xế</v>
      </c>
      <c r="E21" s="540">
        <v>43253</v>
      </c>
      <c r="F21" s="537">
        <v>5</v>
      </c>
      <c r="G21" s="554">
        <f>DATEDIF(E21,$J$3,"y")</f>
        <v>0</v>
      </c>
      <c r="H21" s="554">
        <f>DATEDIF(E21,$J$3,"ym")</f>
        <v>2</v>
      </c>
      <c r="I21" s="550">
        <f>DATEDIF(E21,$J$3,"md")</f>
        <v>23</v>
      </c>
      <c r="J21" s="550">
        <f>VLOOKUP(D21,'THANG B.LUONG'!$B$5:$I$513,F21+1,0)</f>
        <v>0</v>
      </c>
      <c r="K21" s="550">
        <v>0</v>
      </c>
      <c r="L21" s="550">
        <v>0</v>
      </c>
      <c r="M21" s="550">
        <f>IF(G21&gt;=3,J21*(0.03+(G21-3)*0.01),0)</f>
        <v>0</v>
      </c>
      <c r="N21" s="550">
        <v>0</v>
      </c>
      <c r="O21" s="550">
        <v>0</v>
      </c>
      <c r="P21" s="550">
        <v>0</v>
      </c>
      <c r="Q21" s="550">
        <v>0</v>
      </c>
      <c r="R21" s="550">
        <v>0</v>
      </c>
      <c r="S21" s="550">
        <v>0</v>
      </c>
      <c r="T21" s="550">
        <v>0</v>
      </c>
      <c r="U21" s="528">
        <v>2660</v>
      </c>
      <c r="V21" s="551">
        <f>(SUM(J21:U21)-P21)*0.85</f>
        <v>2261</v>
      </c>
      <c r="W21" s="555">
        <v>2</v>
      </c>
      <c r="X21" s="550" t="e">
        <f>VLOOKUP(B21,#REF!,37,0)</f>
        <v>#REF!</v>
      </c>
      <c r="Y21" s="556" t="e">
        <f>VLOOKUP(B21,#REF!,38,0)</f>
        <v>#REF!</v>
      </c>
      <c r="Z21" s="550" t="e">
        <f>VLOOKUP(B21,#REF!,72,0)</f>
        <v>#REF!</v>
      </c>
      <c r="AA21" s="550" t="e">
        <f>VLOOKUP(B21,#REF!,71,0)</f>
        <v>#REF!</v>
      </c>
      <c r="AB21" s="550" t="e">
        <f>VLOOKUP(B21,#REF!,36,0)</f>
        <v>#REF!</v>
      </c>
      <c r="AC21" s="550"/>
      <c r="AD21" s="528"/>
      <c r="AE21" s="528"/>
      <c r="AF21" s="528"/>
      <c r="AG21" s="528"/>
      <c r="AH21" s="528"/>
      <c r="AI21" s="528"/>
      <c r="AJ21" s="528"/>
      <c r="AK21" s="557" t="e">
        <f>V21/#REF!*(W21+Z21/8*2+AA21/8*1.5+AB21*3)+J21/#REF!*(X21+Y21)+AC21+P21+AE21+AG21+AH21+AI21+AJ21</f>
        <v>#REF!</v>
      </c>
      <c r="AL21" s="550">
        <f>AM21*$AN$3</f>
        <v>0</v>
      </c>
      <c r="AM21" s="529">
        <v>0</v>
      </c>
      <c r="AN21" s="558">
        <v>0</v>
      </c>
      <c r="AO21" s="558"/>
      <c r="AP21" s="561" t="e">
        <f>ROUND(AK21-AL21-AN21+AO21,-1)</f>
        <v>#REF!</v>
      </c>
    </row>
    <row r="22" spans="1:42" s="559" customFormat="1">
      <c r="A22" s="547"/>
      <c r="B22" s="511" t="s">
        <v>753</v>
      </c>
      <c r="C22" s="552" t="s">
        <v>754</v>
      </c>
      <c r="D22" s="553" t="str">
        <f>'THANG B.LUONG'!$B$49</f>
        <v>Tài xế</v>
      </c>
      <c r="E22" s="540">
        <v>43253</v>
      </c>
      <c r="F22" s="537">
        <v>5</v>
      </c>
      <c r="G22" s="554">
        <f>DATEDIF(E22,$J$3,"y")</f>
        <v>0</v>
      </c>
      <c r="H22" s="554">
        <f>DATEDIF(E22,$J$3,"ym")</f>
        <v>2</v>
      </c>
      <c r="I22" s="550">
        <f>DATEDIF(E22,$J$3,"md")</f>
        <v>23</v>
      </c>
      <c r="J22" s="550">
        <f>VLOOKUP(D22,'THANG B.LUONG'!$B$5:$I$513,F22+1,0)</f>
        <v>0</v>
      </c>
      <c r="K22" s="550">
        <v>0</v>
      </c>
      <c r="L22" s="550">
        <v>0</v>
      </c>
      <c r="M22" s="550">
        <f>IF(G22&gt;=3,J22*(0.03+(G22-3)*0.01),0)</f>
        <v>0</v>
      </c>
      <c r="N22" s="550">
        <v>0</v>
      </c>
      <c r="O22" s="550">
        <v>0</v>
      </c>
      <c r="P22" s="550">
        <v>0</v>
      </c>
      <c r="Q22" s="550">
        <v>0</v>
      </c>
      <c r="R22" s="550">
        <v>0</v>
      </c>
      <c r="S22" s="550">
        <v>0</v>
      </c>
      <c r="T22" s="550">
        <v>0</v>
      </c>
      <c r="U22" s="528">
        <v>2660</v>
      </c>
      <c r="V22" s="551">
        <f>SUM(J22:U22)-P22</f>
        <v>2660</v>
      </c>
      <c r="W22" s="555">
        <v>25</v>
      </c>
      <c r="X22" s="550" t="e">
        <f>VLOOKUP(B22,#REF!,37,0)</f>
        <v>#REF!</v>
      </c>
      <c r="Y22" s="556" t="e">
        <f>VLOOKUP(B22,#REF!,38,0)</f>
        <v>#REF!</v>
      </c>
      <c r="Z22" s="550" t="e">
        <f>VLOOKUP(B22,#REF!,72,0)</f>
        <v>#REF!</v>
      </c>
      <c r="AA22" s="550" t="e">
        <f>VLOOKUP(B22,#REF!,71,0)</f>
        <v>#REF!</v>
      </c>
      <c r="AB22" s="550" t="e">
        <f>VLOOKUP(B22,#REF!,36,0)</f>
        <v>#REF!</v>
      </c>
      <c r="AC22" s="550"/>
      <c r="AD22" s="528"/>
      <c r="AE22" s="528"/>
      <c r="AF22" s="528"/>
      <c r="AG22" s="528"/>
      <c r="AH22" s="528"/>
      <c r="AI22" s="528"/>
      <c r="AJ22" s="528"/>
      <c r="AK22" s="557" t="e">
        <f>V22/#REF!*(W22+Z22/8*2+AA22/8*1.5+AB22*3)+J22/#REF!*(X22+Y22)+AC22+P22+AE22+AG22+AH22+AI22+AJ22</f>
        <v>#REF!</v>
      </c>
      <c r="AL22" s="550">
        <f>AM22*$AN$3</f>
        <v>0</v>
      </c>
      <c r="AM22" s="529">
        <v>0</v>
      </c>
      <c r="AN22" s="558">
        <v>0</v>
      </c>
      <c r="AO22" s="558"/>
      <c r="AP22" s="561" t="e">
        <f>ROUND(AK22-AL22-AN22+AO22,-1)</f>
        <v>#REF!</v>
      </c>
    </row>
    <row r="23" spans="1:42" s="461" customFormat="1">
      <c r="A23" s="262"/>
      <c r="B23" s="391" t="s">
        <v>576</v>
      </c>
      <c r="C23" s="292" t="s">
        <v>304</v>
      </c>
      <c r="D23" s="280" t="s">
        <v>249</v>
      </c>
      <c r="E23" s="493">
        <v>42983</v>
      </c>
      <c r="F23" s="265">
        <v>2</v>
      </c>
      <c r="G23" s="266">
        <f t="shared" si="5"/>
        <v>0</v>
      </c>
      <c r="H23" s="266">
        <f t="shared" si="6"/>
        <v>11</v>
      </c>
      <c r="I23" s="267">
        <f t="shared" si="7"/>
        <v>20</v>
      </c>
      <c r="J23" s="267">
        <f>VLOOKUP(D23,'THANG B.LUONG'!$B$5:$I$513,F23+1,0)</f>
        <v>0</v>
      </c>
      <c r="K23" s="267">
        <v>0</v>
      </c>
      <c r="L23" s="267">
        <v>0</v>
      </c>
      <c r="M23" s="267">
        <f t="shared" si="3"/>
        <v>0</v>
      </c>
      <c r="N23" s="267">
        <v>0</v>
      </c>
      <c r="O23" s="267">
        <v>0</v>
      </c>
      <c r="P23" s="267">
        <v>0</v>
      </c>
      <c r="Q23" s="267">
        <v>0</v>
      </c>
      <c r="R23" s="267">
        <v>0</v>
      </c>
      <c r="S23" s="267">
        <v>0</v>
      </c>
      <c r="T23" s="267">
        <v>0</v>
      </c>
      <c r="U23" s="267">
        <v>0</v>
      </c>
      <c r="V23" s="268">
        <f>SUM(J23:U23)-P23</f>
        <v>0</v>
      </c>
      <c r="W23" s="269" t="e">
        <f>VLOOKUP(B23,#REF!,35,0)</f>
        <v>#REF!</v>
      </c>
      <c r="X23" s="267" t="e">
        <f>VLOOKUP(B23,#REF!,37,0)</f>
        <v>#REF!</v>
      </c>
      <c r="Y23" s="270" t="e">
        <f>VLOOKUP(B23,#REF!,38,0)</f>
        <v>#REF!</v>
      </c>
      <c r="Z23" s="267" t="e">
        <f>VLOOKUP(B23,#REF!,72,0)</f>
        <v>#REF!</v>
      </c>
      <c r="AA23" s="267" t="e">
        <f>VLOOKUP(B23,#REF!,71,0)</f>
        <v>#REF!</v>
      </c>
      <c r="AB23" s="267" t="e">
        <f>VLOOKUP(B23,#REF!,36,0)</f>
        <v>#REF!</v>
      </c>
      <c r="AC23" s="267"/>
      <c r="AD23" s="271"/>
      <c r="AE23" s="271"/>
      <c r="AF23" s="271"/>
      <c r="AG23" s="271"/>
      <c r="AH23" s="271"/>
      <c r="AI23" s="271"/>
      <c r="AJ23" s="271"/>
      <c r="AK23" s="268" t="e">
        <f>V23/#REF!*(W23+Z23/8*2+AA23/8*1.5+AB23*3)+J23/#REF!*(X23+Y23)+AC23+P23+AE23+AG23+AH23+AI23+AJ23</f>
        <v>#REF!</v>
      </c>
      <c r="AL23" s="267">
        <f>AM23*$AN$3</f>
        <v>504</v>
      </c>
      <c r="AM23" s="414">
        <v>4800</v>
      </c>
      <c r="AN23" s="272" t="e">
        <f>VLOOKUP(B23,#REF!,75,0)</f>
        <v>#REF!</v>
      </c>
      <c r="AO23" s="272"/>
      <c r="AP23" s="273" t="e">
        <f t="shared" si="8"/>
        <v>#REF!</v>
      </c>
    </row>
    <row r="24" spans="1:42" s="459" customFormat="1">
      <c r="A24" s="283"/>
      <c r="B24" s="472"/>
      <c r="C24" s="276" t="s">
        <v>142</v>
      </c>
      <c r="D24" s="277"/>
      <c r="E24" s="494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5"/>
      <c r="W24" s="235"/>
      <c r="X24" s="235"/>
      <c r="Y24" s="235"/>
      <c r="Z24" s="235"/>
      <c r="AA24" s="235"/>
      <c r="AB24" s="235"/>
      <c r="AC24" s="235"/>
      <c r="AD24" s="235"/>
      <c r="AE24" s="235"/>
      <c r="AF24" s="235"/>
      <c r="AG24" s="235"/>
      <c r="AH24" s="235"/>
      <c r="AI24" s="235"/>
      <c r="AJ24" s="235"/>
      <c r="AK24" s="261" t="e">
        <f>SUM(AK25:AK25)</f>
        <v>#REF!</v>
      </c>
      <c r="AL24" s="261">
        <f t="shared" ref="AL24:AP24" si="9">SUM(AL25:AL25)</f>
        <v>525</v>
      </c>
      <c r="AM24" s="261">
        <f t="shared" si="9"/>
        <v>5000</v>
      </c>
      <c r="AN24" s="261" t="e">
        <f t="shared" si="9"/>
        <v>#REF!</v>
      </c>
      <c r="AO24" s="261">
        <f t="shared" si="9"/>
        <v>0</v>
      </c>
      <c r="AP24" s="261" t="e">
        <f t="shared" si="9"/>
        <v>#REF!</v>
      </c>
    </row>
    <row r="25" spans="1:42" s="460" customFormat="1">
      <c r="A25" s="262"/>
      <c r="B25" s="391" t="s">
        <v>320</v>
      </c>
      <c r="C25" s="232" t="s">
        <v>398</v>
      </c>
      <c r="D25" s="280" t="s">
        <v>251</v>
      </c>
      <c r="E25" s="493">
        <v>42555</v>
      </c>
      <c r="F25" s="265">
        <v>1</v>
      </c>
      <c r="G25" s="266">
        <f>DATEDIF(E25,$J$3,"y")</f>
        <v>2</v>
      </c>
      <c r="H25" s="266">
        <f>DATEDIF(E25,$J$3,"ym")</f>
        <v>1</v>
      </c>
      <c r="I25" s="267">
        <f>DATEDIF(E25,$J$3,"md")</f>
        <v>21</v>
      </c>
      <c r="J25" s="267">
        <f>VLOOKUP(D25,'THANG B.LUONG'!$B$5:$I$513,F25+1,0)</f>
        <v>0</v>
      </c>
      <c r="K25" s="267">
        <v>0</v>
      </c>
      <c r="L25" s="267">
        <v>0</v>
      </c>
      <c r="M25" s="267">
        <f t="shared" si="3"/>
        <v>0</v>
      </c>
      <c r="N25" s="267">
        <v>0</v>
      </c>
      <c r="O25" s="267">
        <v>0</v>
      </c>
      <c r="P25" s="267">
        <v>100</v>
      </c>
      <c r="Q25" s="267">
        <v>0</v>
      </c>
      <c r="R25" s="267">
        <v>0</v>
      </c>
      <c r="S25" s="267">
        <v>0</v>
      </c>
      <c r="T25" s="267">
        <v>0</v>
      </c>
      <c r="U25" s="267">
        <v>0</v>
      </c>
      <c r="V25" s="268">
        <f t="shared" si="1"/>
        <v>0</v>
      </c>
      <c r="W25" s="269" t="e">
        <f>VLOOKUP(B25,#REF!,35,0)</f>
        <v>#REF!</v>
      </c>
      <c r="X25" s="267" t="e">
        <f>VLOOKUP(B25,#REF!,37,0)</f>
        <v>#REF!</v>
      </c>
      <c r="Y25" s="270" t="e">
        <f>VLOOKUP(B25,#REF!,38,0)</f>
        <v>#REF!</v>
      </c>
      <c r="Z25" s="267" t="e">
        <f>VLOOKUP(B25,#REF!,72,0)</f>
        <v>#REF!</v>
      </c>
      <c r="AA25" s="267" t="e">
        <f>VLOOKUP(B25,#REF!,71,0)</f>
        <v>#REF!</v>
      </c>
      <c r="AB25" s="267" t="e">
        <f>VLOOKUP(B25,#REF!,36,0)</f>
        <v>#REF!</v>
      </c>
      <c r="AC25" s="267"/>
      <c r="AD25" s="271"/>
      <c r="AE25" s="271"/>
      <c r="AF25" s="271"/>
      <c r="AG25" s="271"/>
      <c r="AH25" s="271"/>
      <c r="AI25" s="271"/>
      <c r="AJ25" s="271"/>
      <c r="AK25" s="268" t="e">
        <f>V25/#REF!*(W25+Z25/8*2+AA25/8*1.5+AB25*3)+J25/#REF!*(X25+Y25)+AC25+P25+AE25+AG25+AH25+AI25+AJ25</f>
        <v>#REF!</v>
      </c>
      <c r="AL25" s="267">
        <f t="shared" si="2"/>
        <v>525</v>
      </c>
      <c r="AM25" s="385">
        <v>5000</v>
      </c>
      <c r="AN25" s="272" t="e">
        <f>VLOOKUP(B25,#REF!,75,0)</f>
        <v>#REF!</v>
      </c>
      <c r="AO25" s="272"/>
      <c r="AP25" s="273" t="e">
        <f>ROUND(AK25-AL25-AN25+AO25,-1)</f>
        <v>#REF!</v>
      </c>
    </row>
    <row r="26" spans="1:42" s="459" customFormat="1">
      <c r="A26" s="283"/>
      <c r="B26" s="472"/>
      <c r="C26" s="276" t="s">
        <v>543</v>
      </c>
      <c r="D26" s="277"/>
      <c r="E26" s="494"/>
      <c r="F26" s="235"/>
      <c r="G26" s="235"/>
      <c r="H26" s="235"/>
      <c r="I26" s="235"/>
      <c r="J26" s="235"/>
      <c r="K26" s="235"/>
      <c r="L26" s="235"/>
      <c r="M26" s="235"/>
      <c r="N26" s="235"/>
      <c r="O26" s="235"/>
      <c r="P26" s="235"/>
      <c r="Q26" s="235"/>
      <c r="R26" s="235"/>
      <c r="S26" s="235"/>
      <c r="T26" s="235"/>
      <c r="U26" s="235"/>
      <c r="V26" s="235"/>
      <c r="W26" s="235"/>
      <c r="X26" s="235"/>
      <c r="Y26" s="235"/>
      <c r="Z26" s="235"/>
      <c r="AA26" s="235"/>
      <c r="AB26" s="235"/>
      <c r="AC26" s="235"/>
      <c r="AD26" s="235"/>
      <c r="AE26" s="235"/>
      <c r="AF26" s="235"/>
      <c r="AG26" s="235"/>
      <c r="AH26" s="235"/>
      <c r="AI26" s="235"/>
      <c r="AJ26" s="235"/>
      <c r="AK26" s="261" t="e">
        <f>SUM(AK27:AK33)</f>
        <v>#REF!</v>
      </c>
      <c r="AL26" s="261">
        <f t="shared" ref="AL26:AP26" si="10">SUM(AL27:AL33)</f>
        <v>2614.5</v>
      </c>
      <c r="AM26" s="261">
        <f t="shared" si="10"/>
        <v>33200</v>
      </c>
      <c r="AN26" s="261" t="e">
        <f t="shared" si="10"/>
        <v>#REF!</v>
      </c>
      <c r="AO26" s="261">
        <f t="shared" si="10"/>
        <v>0</v>
      </c>
      <c r="AP26" s="261" t="e">
        <f t="shared" si="10"/>
        <v>#REF!</v>
      </c>
    </row>
    <row r="27" spans="1:42" s="459" customFormat="1" ht="13.5" customHeight="1">
      <c r="A27" s="262"/>
      <c r="B27" s="469" t="s">
        <v>324</v>
      </c>
      <c r="C27" s="274" t="s">
        <v>417</v>
      </c>
      <c r="D27" s="279" t="s">
        <v>295</v>
      </c>
      <c r="E27" s="493">
        <v>41852</v>
      </c>
      <c r="F27" s="265">
        <v>3</v>
      </c>
      <c r="G27" s="266">
        <f t="shared" ref="G27:G33" si="11">DATEDIF(E27,$J$3,"y")</f>
        <v>4</v>
      </c>
      <c r="H27" s="266">
        <f t="shared" ref="H27:H33" si="12">DATEDIF(E27,$J$3,"ym")</f>
        <v>0</v>
      </c>
      <c r="I27" s="267">
        <f t="shared" ref="I27:I33" si="13">DATEDIF(E27,$J$3,"md")</f>
        <v>24</v>
      </c>
      <c r="J27" s="267">
        <f>VLOOKUP(D27,'THANG B.LUONG'!$B$5:$I$513,F27+1,0)</f>
        <v>0</v>
      </c>
      <c r="K27" s="267">
        <v>0</v>
      </c>
      <c r="L27" s="267">
        <v>3000</v>
      </c>
      <c r="M27" s="267">
        <f t="shared" si="3"/>
        <v>0</v>
      </c>
      <c r="N27" s="267">
        <v>0</v>
      </c>
      <c r="O27" s="267">
        <v>1000</v>
      </c>
      <c r="P27" s="267">
        <v>1000</v>
      </c>
      <c r="Q27" s="267">
        <v>0</v>
      </c>
      <c r="R27" s="267">
        <v>0</v>
      </c>
      <c r="S27" s="267">
        <v>0</v>
      </c>
      <c r="T27" s="267">
        <v>0</v>
      </c>
      <c r="U27" s="267">
        <v>0</v>
      </c>
      <c r="V27" s="268">
        <f t="shared" si="1"/>
        <v>4000</v>
      </c>
      <c r="W27" s="269" t="e">
        <f>VLOOKUP(B27,#REF!,35,0)</f>
        <v>#REF!</v>
      </c>
      <c r="X27" s="267" t="e">
        <f>VLOOKUP(B27,#REF!,37,0)</f>
        <v>#REF!</v>
      </c>
      <c r="Y27" s="270" t="e">
        <f>VLOOKUP(B27,#REF!,38,0)</f>
        <v>#REF!</v>
      </c>
      <c r="Z27" s="267" t="e">
        <f>VLOOKUP(B27,#REF!,72,0)</f>
        <v>#REF!</v>
      </c>
      <c r="AA27" s="267" t="e">
        <f>VLOOKUP(B27,#REF!,71,0)</f>
        <v>#REF!</v>
      </c>
      <c r="AB27" s="267" t="e">
        <f>VLOOKUP(B27,#REF!,36,0)</f>
        <v>#REF!</v>
      </c>
      <c r="AC27" s="267"/>
      <c r="AD27" s="271"/>
      <c r="AE27" s="271"/>
      <c r="AF27" s="271"/>
      <c r="AG27" s="271"/>
      <c r="AH27" s="271"/>
      <c r="AI27" s="271"/>
      <c r="AJ27" s="271"/>
      <c r="AK27" s="268" t="e">
        <f>V27/#REF!*(W27+Z27/8*2+AA27/8*1.5+AB27*3)+J27/#REF!*(X27+Y27)+AC27+P27+AE27+AG27+AH27+AI27+AJ27</f>
        <v>#REF!</v>
      </c>
      <c r="AL27" s="438">
        <v>0</v>
      </c>
      <c r="AM27" s="385">
        <v>8300</v>
      </c>
      <c r="AN27" s="272" t="e">
        <f>VLOOKUP(B27,#REF!,75,0)</f>
        <v>#REF!</v>
      </c>
      <c r="AO27" s="272"/>
      <c r="AP27" s="273" t="e">
        <f t="shared" ref="AP27:AP33" si="14">ROUND(AK27-AL27-AN27+AO27,-1)</f>
        <v>#REF!</v>
      </c>
    </row>
    <row r="28" spans="1:42" s="459" customFormat="1">
      <c r="A28" s="262"/>
      <c r="B28" s="391" t="s">
        <v>321</v>
      </c>
      <c r="C28" s="232" t="s">
        <v>399</v>
      </c>
      <c r="D28" s="280" t="s">
        <v>252</v>
      </c>
      <c r="E28" s="493">
        <v>40239</v>
      </c>
      <c r="F28" s="265">
        <v>3</v>
      </c>
      <c r="G28" s="266">
        <f t="shared" si="11"/>
        <v>8</v>
      </c>
      <c r="H28" s="266">
        <f t="shared" si="12"/>
        <v>5</v>
      </c>
      <c r="I28" s="267">
        <f t="shared" si="13"/>
        <v>23</v>
      </c>
      <c r="J28" s="267">
        <f>VLOOKUP(D28,'THANG B.LUONG'!$B$5:$I$513,F28+1,0)</f>
        <v>0</v>
      </c>
      <c r="K28" s="267">
        <v>0</v>
      </c>
      <c r="L28" s="267">
        <v>2000</v>
      </c>
      <c r="M28" s="267">
        <f t="shared" si="3"/>
        <v>0</v>
      </c>
      <c r="N28" s="267">
        <v>0</v>
      </c>
      <c r="O28" s="267">
        <v>0</v>
      </c>
      <c r="P28" s="267">
        <v>0</v>
      </c>
      <c r="Q28" s="267">
        <v>0</v>
      </c>
      <c r="R28" s="267">
        <v>0</v>
      </c>
      <c r="S28" s="267">
        <v>0</v>
      </c>
      <c r="T28" s="267">
        <v>0</v>
      </c>
      <c r="U28" s="267">
        <v>0</v>
      </c>
      <c r="V28" s="268">
        <f t="shared" si="1"/>
        <v>2000</v>
      </c>
      <c r="W28" s="269" t="e">
        <f>VLOOKUP(B28,#REF!,35,0)</f>
        <v>#REF!</v>
      </c>
      <c r="X28" s="267" t="e">
        <f>VLOOKUP(B28,#REF!,37,0)</f>
        <v>#REF!</v>
      </c>
      <c r="Y28" s="270" t="e">
        <f>VLOOKUP(B28,#REF!,38,0)</f>
        <v>#REF!</v>
      </c>
      <c r="Z28" s="267" t="e">
        <f>VLOOKUP(B28,#REF!,72,0)</f>
        <v>#REF!</v>
      </c>
      <c r="AA28" s="267" t="e">
        <f>VLOOKUP(B28,#REF!,71,0)</f>
        <v>#REF!</v>
      </c>
      <c r="AB28" s="267" t="e">
        <f>VLOOKUP(B28,#REF!,36,0)</f>
        <v>#REF!</v>
      </c>
      <c r="AC28" s="267"/>
      <c r="AD28" s="271"/>
      <c r="AE28" s="271"/>
      <c r="AF28" s="271"/>
      <c r="AG28" s="271"/>
      <c r="AH28" s="271"/>
      <c r="AI28" s="271"/>
      <c r="AJ28" s="271"/>
      <c r="AK28" s="268" t="e">
        <f>V28/#REF!*(W28+Z28/8*2+AA28/8*1.5+AB28*3)+J28/#REF!*(X28+Y28)+AC28+P28+AE28+AG28+AH28+AI28+AJ28</f>
        <v>#REF!</v>
      </c>
      <c r="AL28" s="267">
        <f t="shared" si="2"/>
        <v>504</v>
      </c>
      <c r="AM28" s="414">
        <v>4800</v>
      </c>
      <c r="AN28" s="272" t="e">
        <f>VLOOKUP(B28,#REF!,75,0)</f>
        <v>#REF!</v>
      </c>
      <c r="AO28" s="272"/>
      <c r="AP28" s="273" t="e">
        <f t="shared" si="14"/>
        <v>#REF!</v>
      </c>
    </row>
    <row r="29" spans="1:42" s="459" customFormat="1">
      <c r="A29" s="262"/>
      <c r="B29" s="391" t="s">
        <v>322</v>
      </c>
      <c r="C29" s="232" t="s">
        <v>400</v>
      </c>
      <c r="D29" s="280" t="s">
        <v>253</v>
      </c>
      <c r="E29" s="493">
        <v>42187</v>
      </c>
      <c r="F29" s="265">
        <v>2</v>
      </c>
      <c r="G29" s="266">
        <f t="shared" si="11"/>
        <v>3</v>
      </c>
      <c r="H29" s="266">
        <f t="shared" si="12"/>
        <v>1</v>
      </c>
      <c r="I29" s="267">
        <f t="shared" si="13"/>
        <v>23</v>
      </c>
      <c r="J29" s="267">
        <f>VLOOKUP(D29,'THANG B.LUONG'!$B$5:$I$513,F29+1,0)</f>
        <v>0</v>
      </c>
      <c r="K29" s="267">
        <v>0</v>
      </c>
      <c r="L29" s="267">
        <v>0</v>
      </c>
      <c r="M29" s="267">
        <f t="shared" si="3"/>
        <v>0</v>
      </c>
      <c r="N29" s="267">
        <v>0</v>
      </c>
      <c r="O29" s="267">
        <v>0</v>
      </c>
      <c r="P29" s="267">
        <v>200</v>
      </c>
      <c r="Q29" s="267">
        <v>0</v>
      </c>
      <c r="R29" s="271">
        <f>30%*'THANG B.LUONG'!C25</f>
        <v>0</v>
      </c>
      <c r="S29" s="267">
        <v>0</v>
      </c>
      <c r="T29" s="267">
        <v>0</v>
      </c>
      <c r="U29" s="267">
        <v>0</v>
      </c>
      <c r="V29" s="268">
        <f t="shared" si="1"/>
        <v>0</v>
      </c>
      <c r="W29" s="269" t="e">
        <f>VLOOKUP(B29,#REF!,35,0)</f>
        <v>#REF!</v>
      </c>
      <c r="X29" s="267" t="e">
        <f>VLOOKUP(B29,#REF!,37,0)</f>
        <v>#REF!</v>
      </c>
      <c r="Y29" s="270" t="e">
        <f>VLOOKUP(B29,#REF!,38,0)</f>
        <v>#REF!</v>
      </c>
      <c r="Z29" s="267" t="e">
        <f>VLOOKUP(B29,#REF!,72,0)</f>
        <v>#REF!</v>
      </c>
      <c r="AA29" s="267" t="e">
        <f>VLOOKUP(B29,#REF!,71,0)</f>
        <v>#REF!</v>
      </c>
      <c r="AB29" s="267" t="e">
        <f>VLOOKUP(B29,#REF!,36,0)</f>
        <v>#REF!</v>
      </c>
      <c r="AC29" s="267"/>
      <c r="AD29" s="271"/>
      <c r="AE29" s="271"/>
      <c r="AF29" s="271"/>
      <c r="AG29" s="271"/>
      <c r="AH29" s="271"/>
      <c r="AI29" s="271"/>
      <c r="AJ29" s="271"/>
      <c r="AK29" s="268" t="e">
        <f>V29/#REF!*(W29+Z29/8*2+AA29/8*1.5+AB29*3)+J29/#REF!*(X29+Y29)+AC29+P29+AE29+AG29+AH29+AI29+AJ29</f>
        <v>#REF!</v>
      </c>
      <c r="AL29" s="267">
        <f t="shared" si="2"/>
        <v>504</v>
      </c>
      <c r="AM29" s="414">
        <v>4800</v>
      </c>
      <c r="AN29" s="272" t="e">
        <f>VLOOKUP(B29,#REF!,75,0)</f>
        <v>#REF!</v>
      </c>
      <c r="AO29" s="272"/>
      <c r="AP29" s="273" t="e">
        <f t="shared" si="14"/>
        <v>#REF!</v>
      </c>
    </row>
    <row r="30" spans="1:42" s="459" customFormat="1">
      <c r="A30" s="262"/>
      <c r="B30" s="391" t="s">
        <v>323</v>
      </c>
      <c r="C30" s="232" t="s">
        <v>401</v>
      </c>
      <c r="D30" s="280" t="s">
        <v>253</v>
      </c>
      <c r="E30" s="493">
        <v>42537</v>
      </c>
      <c r="F30" s="265">
        <v>2</v>
      </c>
      <c r="G30" s="266">
        <f t="shared" si="11"/>
        <v>2</v>
      </c>
      <c r="H30" s="266">
        <f t="shared" si="12"/>
        <v>2</v>
      </c>
      <c r="I30" s="267">
        <f t="shared" si="13"/>
        <v>9</v>
      </c>
      <c r="J30" s="267">
        <f>VLOOKUP(D30,'THANG B.LUONG'!$B$5:$I$513,F30+1,0)</f>
        <v>0</v>
      </c>
      <c r="K30" s="267">
        <v>0</v>
      </c>
      <c r="L30" s="267">
        <v>0</v>
      </c>
      <c r="M30" s="267">
        <f t="shared" si="3"/>
        <v>0</v>
      </c>
      <c r="N30" s="267">
        <v>0</v>
      </c>
      <c r="O30" s="267">
        <v>0</v>
      </c>
      <c r="P30" s="267">
        <v>0</v>
      </c>
      <c r="Q30" s="267">
        <v>0</v>
      </c>
      <c r="R30" s="267">
        <v>0</v>
      </c>
      <c r="S30" s="267">
        <v>0</v>
      </c>
      <c r="T30" s="267">
        <v>0</v>
      </c>
      <c r="U30" s="267">
        <v>0</v>
      </c>
      <c r="V30" s="268">
        <f t="shared" si="1"/>
        <v>0</v>
      </c>
      <c r="W30" s="269" t="e">
        <f>VLOOKUP(B30,#REF!,35,0)</f>
        <v>#REF!</v>
      </c>
      <c r="X30" s="267" t="e">
        <f>VLOOKUP(B30,#REF!,37,0)</f>
        <v>#REF!</v>
      </c>
      <c r="Y30" s="270" t="e">
        <f>VLOOKUP(B30,#REF!,38,0)</f>
        <v>#REF!</v>
      </c>
      <c r="Z30" s="267" t="e">
        <f>VLOOKUP(B30,#REF!,72,0)</f>
        <v>#REF!</v>
      </c>
      <c r="AA30" s="267" t="e">
        <f>VLOOKUP(B30,#REF!,71,0)</f>
        <v>#REF!</v>
      </c>
      <c r="AB30" s="267" t="e">
        <f>VLOOKUP(B30,#REF!,36,0)</f>
        <v>#REF!</v>
      </c>
      <c r="AC30" s="267"/>
      <c r="AD30" s="271"/>
      <c r="AE30" s="271"/>
      <c r="AF30" s="271"/>
      <c r="AG30" s="271"/>
      <c r="AH30" s="271"/>
      <c r="AI30" s="271"/>
      <c r="AJ30" s="271"/>
      <c r="AK30" s="268" t="e">
        <f>V30/#REF!*(W30+Z30/8*2+AA30/8*1.5+AB30*3)+J30/#REF!*(X30+Y30)+AC30+P30+AE30+AG30+AH30+AI30+AJ30</f>
        <v>#REF!</v>
      </c>
      <c r="AL30" s="267">
        <f t="shared" si="2"/>
        <v>504</v>
      </c>
      <c r="AM30" s="414">
        <v>4800</v>
      </c>
      <c r="AN30" s="272" t="e">
        <f>VLOOKUP(B30,#REF!,75,0)</f>
        <v>#REF!</v>
      </c>
      <c r="AO30" s="272"/>
      <c r="AP30" s="273" t="e">
        <f t="shared" si="14"/>
        <v>#REF!</v>
      </c>
    </row>
    <row r="31" spans="1:42" s="459" customFormat="1">
      <c r="A31" s="262"/>
      <c r="B31" s="391" t="s">
        <v>325</v>
      </c>
      <c r="C31" s="232" t="s">
        <v>418</v>
      </c>
      <c r="D31" s="280" t="s">
        <v>296</v>
      </c>
      <c r="E31" s="493">
        <v>42795</v>
      </c>
      <c r="F31" s="265">
        <v>2</v>
      </c>
      <c r="G31" s="266">
        <f t="shared" si="11"/>
        <v>1</v>
      </c>
      <c r="H31" s="266">
        <f t="shared" si="12"/>
        <v>5</v>
      </c>
      <c r="I31" s="267">
        <f t="shared" si="13"/>
        <v>24</v>
      </c>
      <c r="J31" s="267">
        <f>VLOOKUP(D31,'THANG B.LUONG'!$B$5:$I$513,F31+1,0)</f>
        <v>0</v>
      </c>
      <c r="K31" s="267">
        <v>0</v>
      </c>
      <c r="L31" s="267">
        <v>0</v>
      </c>
      <c r="M31" s="267">
        <f t="shared" si="3"/>
        <v>0</v>
      </c>
      <c r="N31" s="267">
        <v>0</v>
      </c>
      <c r="O31" s="267">
        <v>0</v>
      </c>
      <c r="P31" s="267">
        <v>0</v>
      </c>
      <c r="Q31" s="267">
        <v>0</v>
      </c>
      <c r="R31" s="267">
        <v>0</v>
      </c>
      <c r="S31" s="267">
        <v>0</v>
      </c>
      <c r="T31" s="267">
        <v>0</v>
      </c>
      <c r="U31" s="267">
        <v>0</v>
      </c>
      <c r="V31" s="268">
        <f t="shared" si="1"/>
        <v>0</v>
      </c>
      <c r="W31" s="269" t="e">
        <f>VLOOKUP(B31,#REF!,35,0)</f>
        <v>#REF!</v>
      </c>
      <c r="X31" s="267" t="e">
        <f>VLOOKUP(B31,#REF!,37,0)</f>
        <v>#REF!</v>
      </c>
      <c r="Y31" s="270" t="e">
        <f>VLOOKUP(B31,#REF!,38,0)</f>
        <v>#REF!</v>
      </c>
      <c r="Z31" s="267" t="e">
        <f>VLOOKUP(B31,#REF!,72,0)</f>
        <v>#REF!</v>
      </c>
      <c r="AA31" s="267" t="e">
        <f>VLOOKUP(B31,#REF!,71,0)</f>
        <v>#REF!</v>
      </c>
      <c r="AB31" s="267" t="e">
        <f>VLOOKUP(B31,#REF!,36,0)</f>
        <v>#REF!</v>
      </c>
      <c r="AC31" s="267"/>
      <c r="AD31" s="271"/>
      <c r="AE31" s="271"/>
      <c r="AF31" s="271"/>
      <c r="AG31" s="271"/>
      <c r="AH31" s="271"/>
      <c r="AI31" s="271"/>
      <c r="AJ31" s="271"/>
      <c r="AK31" s="268" t="e">
        <f>V31/#REF!*(W31+Z31/8*2+AA31/8*1.5+AB31*3)+J31/#REF!*(X31+Y31)+AC31+P31+AE31+AG31+AH31+AI31+AJ31</f>
        <v>#REF!</v>
      </c>
      <c r="AL31" s="267">
        <f t="shared" si="2"/>
        <v>577.5</v>
      </c>
      <c r="AM31" s="320">
        <v>5500</v>
      </c>
      <c r="AN31" s="272" t="e">
        <f>VLOOKUP(B31,#REF!,75,0)</f>
        <v>#REF!</v>
      </c>
      <c r="AO31" s="439"/>
      <c r="AP31" s="273" t="e">
        <f t="shared" si="14"/>
        <v>#REF!</v>
      </c>
    </row>
    <row r="32" spans="1:42" s="460" customFormat="1" ht="13.5" customHeight="1">
      <c r="A32" s="262"/>
      <c r="B32" s="391" t="s">
        <v>326</v>
      </c>
      <c r="C32" s="232" t="s">
        <v>527</v>
      </c>
      <c r="D32" s="280" t="s">
        <v>297</v>
      </c>
      <c r="E32" s="493">
        <v>42809</v>
      </c>
      <c r="F32" s="265">
        <v>3</v>
      </c>
      <c r="G32" s="266">
        <f t="shared" si="11"/>
        <v>1</v>
      </c>
      <c r="H32" s="266">
        <f t="shared" si="12"/>
        <v>5</v>
      </c>
      <c r="I32" s="267">
        <f t="shared" si="13"/>
        <v>10</v>
      </c>
      <c r="J32" s="267">
        <f>VLOOKUP(D32,'THANG B.LUONG'!$B$5:$I$513,F32+1,0)</f>
        <v>0</v>
      </c>
      <c r="K32" s="267">
        <v>0</v>
      </c>
      <c r="L32" s="267">
        <v>0</v>
      </c>
      <c r="M32" s="267">
        <f t="shared" si="3"/>
        <v>0</v>
      </c>
      <c r="N32" s="267">
        <v>0</v>
      </c>
      <c r="O32" s="267">
        <v>200</v>
      </c>
      <c r="P32" s="267">
        <v>0</v>
      </c>
      <c r="Q32" s="267">
        <v>0</v>
      </c>
      <c r="R32" s="267">
        <v>0</v>
      </c>
      <c r="S32" s="267">
        <v>0</v>
      </c>
      <c r="T32" s="267">
        <v>0</v>
      </c>
      <c r="U32" s="267">
        <v>0</v>
      </c>
      <c r="V32" s="268">
        <f t="shared" si="1"/>
        <v>200</v>
      </c>
      <c r="W32" s="269" t="e">
        <f>VLOOKUP(B32,#REF!,35,0)</f>
        <v>#REF!</v>
      </c>
      <c r="X32" s="267" t="e">
        <f>VLOOKUP(B32,#REF!,37,0)</f>
        <v>#REF!</v>
      </c>
      <c r="Y32" s="270" t="e">
        <f>VLOOKUP(B32,#REF!,38,0)</f>
        <v>#REF!</v>
      </c>
      <c r="Z32" s="267" t="e">
        <f>VLOOKUP(B32,#REF!,72,0)</f>
        <v>#REF!</v>
      </c>
      <c r="AA32" s="267" t="e">
        <f>VLOOKUP(B32,#REF!,71,0)</f>
        <v>#REF!</v>
      </c>
      <c r="AB32" s="267" t="e">
        <f>VLOOKUP(B32,#REF!,36,0)</f>
        <v>#REF!</v>
      </c>
      <c r="AC32" s="267"/>
      <c r="AD32" s="271"/>
      <c r="AE32" s="271"/>
      <c r="AF32" s="271"/>
      <c r="AG32" s="271"/>
      <c r="AH32" s="271"/>
      <c r="AI32" s="271"/>
      <c r="AJ32" s="271"/>
      <c r="AK32" s="268" t="e">
        <f>V32/#REF!*(W32+Z32/8*2+AA32/8*1.5+AB32*3)+J32/#REF!*(X32+Y32)+AC32+P32+AE32+AG32+AH32+AI32+AJ32</f>
        <v>#REF!</v>
      </c>
      <c r="AL32" s="267">
        <f t="shared" si="2"/>
        <v>525</v>
      </c>
      <c r="AM32" s="414">
        <v>5000</v>
      </c>
      <c r="AN32" s="272" t="e">
        <f>VLOOKUP(B32,#REF!,75,0)</f>
        <v>#REF!</v>
      </c>
      <c r="AO32" s="272"/>
      <c r="AP32" s="273" t="e">
        <f t="shared" si="14"/>
        <v>#REF!</v>
      </c>
    </row>
    <row r="33" spans="1:42" s="459" customFormat="1">
      <c r="A33" s="262"/>
      <c r="B33" s="473" t="s">
        <v>558</v>
      </c>
      <c r="C33" s="409" t="s">
        <v>559</v>
      </c>
      <c r="D33" s="280" t="str">
        <f>'THANG B.LUONG'!B28</f>
        <v xml:space="preserve"> Kế toán nội bộ</v>
      </c>
      <c r="E33" s="493">
        <v>43070</v>
      </c>
      <c r="F33" s="265">
        <v>1</v>
      </c>
      <c r="G33" s="266">
        <f t="shared" si="11"/>
        <v>0</v>
      </c>
      <c r="H33" s="266">
        <f t="shared" si="12"/>
        <v>8</v>
      </c>
      <c r="I33" s="267">
        <f t="shared" si="13"/>
        <v>24</v>
      </c>
      <c r="J33" s="267">
        <f>VLOOKUP(D33,'THANG B.LUONG'!$B$5:$I$513,F33+1,0)</f>
        <v>0</v>
      </c>
      <c r="K33" s="267">
        <v>0</v>
      </c>
      <c r="L33" s="267">
        <v>0</v>
      </c>
      <c r="M33" s="267">
        <f t="shared" si="3"/>
        <v>0</v>
      </c>
      <c r="N33" s="267">
        <v>0</v>
      </c>
      <c r="O33" s="267">
        <v>0</v>
      </c>
      <c r="P33" s="267">
        <v>0</v>
      </c>
      <c r="Q33" s="267">
        <v>0</v>
      </c>
      <c r="R33" s="267">
        <v>0</v>
      </c>
      <c r="S33" s="267">
        <v>0</v>
      </c>
      <c r="T33" s="267">
        <v>0</v>
      </c>
      <c r="U33" s="267">
        <v>0</v>
      </c>
      <c r="V33" s="268">
        <f>SUM(J33:U33)-P33</f>
        <v>0</v>
      </c>
      <c r="W33" s="269" t="e">
        <f>VLOOKUP(B33,#REF!,35,0)</f>
        <v>#REF!</v>
      </c>
      <c r="X33" s="267" t="e">
        <f>VLOOKUP(B33,#REF!,37,0)</f>
        <v>#REF!</v>
      </c>
      <c r="Y33" s="270" t="e">
        <f>VLOOKUP(B33,#REF!,38,0)</f>
        <v>#REF!</v>
      </c>
      <c r="Z33" s="267" t="e">
        <f>VLOOKUP(B33,#REF!,72,0)</f>
        <v>#REF!</v>
      </c>
      <c r="AA33" s="267" t="e">
        <f>VLOOKUP(B33,#REF!,71,0)</f>
        <v>#REF!</v>
      </c>
      <c r="AB33" s="267" t="e">
        <f>VLOOKUP(B33,#REF!,36,0)</f>
        <v>#REF!</v>
      </c>
      <c r="AC33" s="267"/>
      <c r="AD33" s="271"/>
      <c r="AE33" s="271"/>
      <c r="AF33" s="271"/>
      <c r="AG33" s="271"/>
      <c r="AH33" s="271"/>
      <c r="AI33" s="271"/>
      <c r="AJ33" s="271"/>
      <c r="AK33" s="268" t="e">
        <f>V33/#REF!*(W33+Z33/8*2+AA33/8*1.5+AB33*3)+J33/#REF!*(X33+Y33)+AC33+P33+AE33+AG33+AH33+AI33+AJ33</f>
        <v>#REF!</v>
      </c>
      <c r="AL33" s="267">
        <f t="shared" si="2"/>
        <v>0</v>
      </c>
      <c r="AM33" s="271">
        <v>0</v>
      </c>
      <c r="AN33" s="272" t="e">
        <f>VLOOKUP(B33,#REF!,75,0)</f>
        <v>#REF!</v>
      </c>
      <c r="AO33" s="272"/>
      <c r="AP33" s="273" t="e">
        <f t="shared" si="14"/>
        <v>#REF!</v>
      </c>
    </row>
    <row r="34" spans="1:42" s="459" customFormat="1">
      <c r="A34" s="283"/>
      <c r="B34" s="472"/>
      <c r="C34" s="286" t="s">
        <v>144</v>
      </c>
      <c r="D34" s="287"/>
      <c r="E34" s="494"/>
      <c r="F34" s="235"/>
      <c r="G34" s="235"/>
      <c r="H34" s="235"/>
      <c r="I34" s="235"/>
      <c r="J34" s="235"/>
      <c r="K34" s="235"/>
      <c r="L34" s="235"/>
      <c r="M34" s="235"/>
      <c r="N34" s="235"/>
      <c r="O34" s="235"/>
      <c r="P34" s="235"/>
      <c r="Q34" s="235"/>
      <c r="R34" s="235"/>
      <c r="S34" s="235"/>
      <c r="T34" s="235"/>
      <c r="U34" s="235"/>
      <c r="V34" s="235"/>
      <c r="W34" s="235"/>
      <c r="X34" s="235"/>
      <c r="Y34" s="235"/>
      <c r="Z34" s="235"/>
      <c r="AA34" s="235"/>
      <c r="AB34" s="235"/>
      <c r="AC34" s="235"/>
      <c r="AD34" s="235"/>
      <c r="AE34" s="235"/>
      <c r="AF34" s="235"/>
      <c r="AG34" s="235"/>
      <c r="AH34" s="235"/>
      <c r="AI34" s="235"/>
      <c r="AJ34" s="235"/>
      <c r="AK34" s="261" t="e">
        <f>SUM(AK35:AK43)</f>
        <v>#REF!</v>
      </c>
      <c r="AL34" s="261">
        <f t="shared" ref="AL34:AP34" si="15">SUM(AL35:AL43)</f>
        <v>1680</v>
      </c>
      <c r="AM34" s="261">
        <f t="shared" si="15"/>
        <v>16000</v>
      </c>
      <c r="AN34" s="261" t="e">
        <f t="shared" si="15"/>
        <v>#REF!</v>
      </c>
      <c r="AO34" s="261">
        <f t="shared" si="15"/>
        <v>0</v>
      </c>
      <c r="AP34" s="261" t="e">
        <f t="shared" si="15"/>
        <v>#REF!</v>
      </c>
    </row>
    <row r="35" spans="1:42" s="460" customFormat="1" ht="13.5" customHeight="1">
      <c r="A35" s="262"/>
      <c r="B35" s="391" t="s">
        <v>328</v>
      </c>
      <c r="C35" s="232" t="s">
        <v>403</v>
      </c>
      <c r="D35" s="280" t="str">
        <f>'THANG B.LUONG'!B69</f>
        <v>CV giám sát thi công</v>
      </c>
      <c r="E35" s="493">
        <v>42338</v>
      </c>
      <c r="F35" s="265">
        <v>4</v>
      </c>
      <c r="G35" s="266">
        <f t="shared" ref="G35:G42" si="16">DATEDIF(E35,$J$3,"y")</f>
        <v>2</v>
      </c>
      <c r="H35" s="266">
        <f t="shared" ref="H35:H42" si="17">DATEDIF(E35,$J$3,"ym")</f>
        <v>8</v>
      </c>
      <c r="I35" s="267">
        <f t="shared" ref="I35:I42" si="18">DATEDIF(E35,$J$3,"md")</f>
        <v>26</v>
      </c>
      <c r="J35" s="267">
        <f>VLOOKUP(D35,'THANG B.LUONG'!$B$5:$I$513,F35+1,0)</f>
        <v>0</v>
      </c>
      <c r="K35" s="267">
        <v>0</v>
      </c>
      <c r="L35" s="267">
        <v>500</v>
      </c>
      <c r="M35" s="267">
        <f t="shared" si="3"/>
        <v>0</v>
      </c>
      <c r="N35" s="267">
        <v>0</v>
      </c>
      <c r="O35" s="267">
        <v>200</v>
      </c>
      <c r="P35" s="267">
        <v>300</v>
      </c>
      <c r="Q35" s="267">
        <v>0</v>
      </c>
      <c r="R35" s="267">
        <v>0</v>
      </c>
      <c r="S35" s="267">
        <v>0</v>
      </c>
      <c r="T35" s="267">
        <v>0</v>
      </c>
      <c r="U35" s="267">
        <v>0</v>
      </c>
      <c r="V35" s="268">
        <f t="shared" si="1"/>
        <v>700</v>
      </c>
      <c r="W35" s="269" t="e">
        <f>VLOOKUP(B35,#REF!,35,0)</f>
        <v>#REF!</v>
      </c>
      <c r="X35" s="267" t="e">
        <f>VLOOKUP(B35,#REF!,37,0)</f>
        <v>#REF!</v>
      </c>
      <c r="Y35" s="270" t="e">
        <f>VLOOKUP(B35,#REF!,38,0)</f>
        <v>#REF!</v>
      </c>
      <c r="Z35" s="267" t="e">
        <f>VLOOKUP(B35,#REF!,72,0)</f>
        <v>#REF!</v>
      </c>
      <c r="AA35" s="267" t="e">
        <f>VLOOKUP(B35,#REF!,71,0)</f>
        <v>#REF!</v>
      </c>
      <c r="AB35" s="267" t="e">
        <f>VLOOKUP(B35,#REF!,36,0)</f>
        <v>#REF!</v>
      </c>
      <c r="AC35" s="267"/>
      <c r="AD35" s="271"/>
      <c r="AE35" s="271"/>
      <c r="AF35" s="271"/>
      <c r="AG35" s="271"/>
      <c r="AH35" s="405"/>
      <c r="AI35" s="271"/>
      <c r="AJ35" s="271">
        <v>300</v>
      </c>
      <c r="AK35" s="268" t="e">
        <f>V35/#REF!*(W35+Z35/8*2+AA35/8*1.5+AB35*3)+J35/#REF!*(X35+Y35)+AC35+P35+AE35+AG35+AH35+AI35+AJ35</f>
        <v>#REF!</v>
      </c>
      <c r="AL35" s="267">
        <f t="shared" si="2"/>
        <v>525</v>
      </c>
      <c r="AM35" s="414">
        <v>5000</v>
      </c>
      <c r="AN35" s="272" t="e">
        <f>VLOOKUP(B35,#REF!,75,0)</f>
        <v>#REF!</v>
      </c>
      <c r="AO35" s="272"/>
      <c r="AP35" s="273" t="e">
        <f t="shared" ref="AP35:AP42" si="19">ROUND(AK35-AL35-AN35+AO35,-1)</f>
        <v>#REF!</v>
      </c>
    </row>
    <row r="36" spans="1:42" s="459" customFormat="1">
      <c r="A36" s="262"/>
      <c r="B36" s="391" t="s">
        <v>329</v>
      </c>
      <c r="C36" s="232" t="s">
        <v>405</v>
      </c>
      <c r="D36" s="280" t="str">
        <f>'THANG B.LUONG'!B67</f>
        <v>Trưởng BP GS kỹ thuật</v>
      </c>
      <c r="E36" s="493">
        <v>42475</v>
      </c>
      <c r="F36" s="265">
        <v>2</v>
      </c>
      <c r="G36" s="266">
        <f t="shared" si="16"/>
        <v>2</v>
      </c>
      <c r="H36" s="266">
        <f t="shared" si="17"/>
        <v>4</v>
      </c>
      <c r="I36" s="267">
        <f t="shared" si="18"/>
        <v>10</v>
      </c>
      <c r="J36" s="267">
        <f>VLOOKUP(D36,'THANG B.LUONG'!$B$5:$I$513,F36+1,0)</f>
        <v>0</v>
      </c>
      <c r="K36" s="267">
        <v>0</v>
      </c>
      <c r="L36" s="267">
        <v>1000</v>
      </c>
      <c r="M36" s="267">
        <f t="shared" si="3"/>
        <v>0</v>
      </c>
      <c r="N36" s="267">
        <v>0</v>
      </c>
      <c r="O36" s="267">
        <v>500</v>
      </c>
      <c r="P36" s="267">
        <v>500</v>
      </c>
      <c r="Q36" s="267">
        <v>0</v>
      </c>
      <c r="R36" s="267">
        <v>0</v>
      </c>
      <c r="S36" s="267">
        <v>0</v>
      </c>
      <c r="T36" s="267">
        <v>0</v>
      </c>
      <c r="U36" s="267">
        <v>0</v>
      </c>
      <c r="V36" s="268">
        <f t="shared" si="1"/>
        <v>1500</v>
      </c>
      <c r="W36" s="269" t="e">
        <f>VLOOKUP(B36,#REF!,35,0)</f>
        <v>#REF!</v>
      </c>
      <c r="X36" s="267" t="e">
        <f>VLOOKUP(B36,#REF!,37,0)</f>
        <v>#REF!</v>
      </c>
      <c r="Y36" s="270" t="e">
        <f>VLOOKUP(B36,#REF!,38,0)</f>
        <v>#REF!</v>
      </c>
      <c r="Z36" s="267" t="e">
        <f>VLOOKUP(B36,#REF!,72,0)</f>
        <v>#REF!</v>
      </c>
      <c r="AA36" s="267" t="e">
        <f>VLOOKUP(B36,#REF!,71,0)</f>
        <v>#REF!</v>
      </c>
      <c r="AB36" s="267" t="e">
        <f>VLOOKUP(B36,#REF!,36,0)</f>
        <v>#REF!</v>
      </c>
      <c r="AC36" s="267"/>
      <c r="AD36" s="271"/>
      <c r="AE36" s="271"/>
      <c r="AF36" s="271"/>
      <c r="AG36" s="271"/>
      <c r="AH36" s="405"/>
      <c r="AI36" s="271"/>
      <c r="AJ36" s="271"/>
      <c r="AK36" s="268" t="e">
        <f>V36/#REF!*(W36+Z36/8*2+AA36/8*1.5+AB36*3)+J36/#REF!*(X36+Y36)+AC36+P36+AE36+AG36+AH36+AI36+AJ36</f>
        <v>#REF!</v>
      </c>
      <c r="AL36" s="267">
        <f t="shared" si="2"/>
        <v>577.5</v>
      </c>
      <c r="AM36" s="414">
        <v>5500</v>
      </c>
      <c r="AN36" s="272" t="e">
        <f>VLOOKUP(B36,#REF!,75,0)</f>
        <v>#REF!</v>
      </c>
      <c r="AO36" s="272"/>
      <c r="AP36" s="273" t="e">
        <f t="shared" si="19"/>
        <v>#REF!</v>
      </c>
    </row>
    <row r="37" spans="1:42" s="459" customFormat="1">
      <c r="A37" s="262"/>
      <c r="B37" s="391" t="s">
        <v>330</v>
      </c>
      <c r="C37" s="232" t="s">
        <v>406</v>
      </c>
      <c r="D37" s="280" t="str">
        <f>'THANG B.LUONG'!B62</f>
        <v>Trưởng BP thiết kế kỹ thuật</v>
      </c>
      <c r="E37" s="493">
        <v>42485</v>
      </c>
      <c r="F37" s="265">
        <v>4</v>
      </c>
      <c r="G37" s="266">
        <f t="shared" si="16"/>
        <v>2</v>
      </c>
      <c r="H37" s="266">
        <f t="shared" si="17"/>
        <v>4</v>
      </c>
      <c r="I37" s="267">
        <f t="shared" si="18"/>
        <v>0</v>
      </c>
      <c r="J37" s="438">
        <f>VLOOKUP(D37,'THANG B.LUONG'!$B$5:$I$513,F37+1,0)</f>
        <v>0</v>
      </c>
      <c r="K37" s="267">
        <v>0</v>
      </c>
      <c r="L37" s="267">
        <v>1000</v>
      </c>
      <c r="M37" s="267">
        <f t="shared" si="3"/>
        <v>0</v>
      </c>
      <c r="N37" s="267">
        <v>0</v>
      </c>
      <c r="O37" s="267">
        <v>500</v>
      </c>
      <c r="P37" s="267">
        <v>500</v>
      </c>
      <c r="Q37" s="267">
        <v>0</v>
      </c>
      <c r="R37" s="267">
        <v>0</v>
      </c>
      <c r="S37" s="267">
        <v>0</v>
      </c>
      <c r="T37" s="267">
        <v>0</v>
      </c>
      <c r="U37" s="267">
        <v>0</v>
      </c>
      <c r="V37" s="268">
        <f t="shared" si="1"/>
        <v>1500</v>
      </c>
      <c r="W37" s="269" t="e">
        <f>VLOOKUP(B37,#REF!,35,0)</f>
        <v>#REF!</v>
      </c>
      <c r="X37" s="267" t="e">
        <f>VLOOKUP(B37,#REF!,37,0)</f>
        <v>#REF!</v>
      </c>
      <c r="Y37" s="270" t="e">
        <f>VLOOKUP(B37,#REF!,38,0)</f>
        <v>#REF!</v>
      </c>
      <c r="Z37" s="267" t="e">
        <f>VLOOKUP(B37,#REF!,72,0)</f>
        <v>#REF!</v>
      </c>
      <c r="AA37" s="267" t="e">
        <f>VLOOKUP(B37,#REF!,71,0)</f>
        <v>#REF!</v>
      </c>
      <c r="AB37" s="267" t="e">
        <f>VLOOKUP(B37,#REF!,36,0)</f>
        <v>#REF!</v>
      </c>
      <c r="AC37" s="267"/>
      <c r="AD37" s="271"/>
      <c r="AE37" s="271"/>
      <c r="AF37" s="271"/>
      <c r="AG37" s="271"/>
      <c r="AH37" s="405"/>
      <c r="AI37" s="271"/>
      <c r="AJ37" s="271"/>
      <c r="AK37" s="268" t="e">
        <f>V37/#REF!*(W37+Z37/8*2+AA37/8*1.5+AB37*3)+J37/#REF!*(X37+Y37)+AC37+P37+AE37+AG37+AH37+AI37+AJ37</f>
        <v>#REF!</v>
      </c>
      <c r="AL37" s="267">
        <f t="shared" si="2"/>
        <v>577.5</v>
      </c>
      <c r="AM37" s="414">
        <v>5500</v>
      </c>
      <c r="AN37" s="272" t="e">
        <f>VLOOKUP(B37,#REF!,75,0)</f>
        <v>#REF!</v>
      </c>
      <c r="AO37" s="272"/>
      <c r="AP37" s="273" t="e">
        <f t="shared" si="19"/>
        <v>#REF!</v>
      </c>
    </row>
    <row r="38" spans="1:42" s="459" customFormat="1">
      <c r="A38" s="262"/>
      <c r="B38" s="391" t="s">
        <v>710</v>
      </c>
      <c r="C38" s="232" t="s">
        <v>712</v>
      </c>
      <c r="D38" s="280" t="str">
        <f>'THANG B.LUONG'!B64</f>
        <v>CV KCS xây dựng</v>
      </c>
      <c r="E38" s="493">
        <v>43222</v>
      </c>
      <c r="F38" s="265">
        <v>1</v>
      </c>
      <c r="G38" s="266">
        <f t="shared" si="16"/>
        <v>0</v>
      </c>
      <c r="H38" s="266">
        <f t="shared" si="17"/>
        <v>3</v>
      </c>
      <c r="I38" s="267">
        <f t="shared" si="18"/>
        <v>23</v>
      </c>
      <c r="J38" s="438">
        <f>VLOOKUP(D38,'THANG B.LUONG'!$B$5:$I$513,F38+1,0)</f>
        <v>0</v>
      </c>
      <c r="K38" s="267">
        <v>0</v>
      </c>
      <c r="L38" s="267">
        <v>0</v>
      </c>
      <c r="M38" s="267">
        <f t="shared" ref="M38:M43" si="20">IF(G38&gt;=3,J38*(0.03+(G38-3)*0.01),0)</f>
        <v>0</v>
      </c>
      <c r="N38" s="267">
        <v>0</v>
      </c>
      <c r="O38" s="267">
        <v>0</v>
      </c>
      <c r="P38" s="267">
        <v>200</v>
      </c>
      <c r="Q38" s="267">
        <v>0</v>
      </c>
      <c r="R38" s="267">
        <v>0</v>
      </c>
      <c r="S38" s="267">
        <v>0</v>
      </c>
      <c r="T38" s="267">
        <v>0</v>
      </c>
      <c r="U38" s="267">
        <v>0</v>
      </c>
      <c r="V38" s="323">
        <f>(SUM(J38:U38)-P38)</f>
        <v>0</v>
      </c>
      <c r="W38" s="269" t="e">
        <f>VLOOKUP(B38,#REF!,35,0)</f>
        <v>#REF!</v>
      </c>
      <c r="X38" s="267" t="e">
        <f>VLOOKUP(B38,#REF!,37,0)</f>
        <v>#REF!</v>
      </c>
      <c r="Y38" s="270" t="e">
        <f>VLOOKUP(B38,#REF!,38,0)</f>
        <v>#REF!</v>
      </c>
      <c r="Z38" s="267" t="e">
        <f>VLOOKUP(B38,#REF!,72,0)</f>
        <v>#REF!</v>
      </c>
      <c r="AA38" s="267" t="e">
        <f>VLOOKUP(B38,#REF!,71,0)</f>
        <v>#REF!</v>
      </c>
      <c r="AB38" s="267" t="e">
        <f>VLOOKUP(B38,#REF!,36,0)</f>
        <v>#REF!</v>
      </c>
      <c r="AC38" s="267"/>
      <c r="AD38" s="271"/>
      <c r="AE38" s="271"/>
      <c r="AF38" s="271"/>
      <c r="AG38" s="271"/>
      <c r="AH38" s="271"/>
      <c r="AI38" s="271"/>
      <c r="AJ38" s="271"/>
      <c r="AK38" s="268" t="e">
        <f>V38/#REF!*(W38+Z38/8*2+AA38/8*1.5+AB38*3)+J38/#REF!*(X38+Y38)+AC38+P38+AE38+AG38+AH38+AI38+AJ38</f>
        <v>#REF!</v>
      </c>
      <c r="AL38" s="267">
        <f t="shared" ref="AL38:AL43" si="21">AM38*$AN$3</f>
        <v>0</v>
      </c>
      <c r="AM38" s="414">
        <v>0</v>
      </c>
      <c r="AN38" s="272" t="e">
        <f>VLOOKUP(B38,#REF!,75,0)</f>
        <v>#REF!</v>
      </c>
      <c r="AO38" s="272"/>
      <c r="AP38" s="273" t="e">
        <f t="shared" si="19"/>
        <v>#REF!</v>
      </c>
    </row>
    <row r="39" spans="1:42" s="459" customFormat="1">
      <c r="A39" s="262"/>
      <c r="B39" s="391" t="s">
        <v>711</v>
      </c>
      <c r="C39" s="232" t="s">
        <v>713</v>
      </c>
      <c r="D39" s="280" t="str">
        <f>'THANG B.LUONG'!B66</f>
        <v>NV thiết kế xây dựng</v>
      </c>
      <c r="E39" s="493">
        <v>43227</v>
      </c>
      <c r="F39" s="265">
        <v>2</v>
      </c>
      <c r="G39" s="266">
        <f t="shared" ref="G39" si="22">DATEDIF(E39,$J$3,"y")</f>
        <v>0</v>
      </c>
      <c r="H39" s="266">
        <f t="shared" ref="H39" si="23">DATEDIF(E39,$J$3,"ym")</f>
        <v>3</v>
      </c>
      <c r="I39" s="267">
        <f t="shared" ref="I39" si="24">DATEDIF(E39,$J$3,"md")</f>
        <v>18</v>
      </c>
      <c r="J39" s="438">
        <f>VLOOKUP(D39,'THANG B.LUONG'!$B$5:$I$513,F39+1,0)</f>
        <v>0</v>
      </c>
      <c r="K39" s="267">
        <v>0</v>
      </c>
      <c r="L39" s="267">
        <v>0</v>
      </c>
      <c r="M39" s="267">
        <f t="shared" si="20"/>
        <v>0</v>
      </c>
      <c r="N39" s="267">
        <v>0</v>
      </c>
      <c r="O39" s="267">
        <v>0</v>
      </c>
      <c r="P39" s="267">
        <v>200</v>
      </c>
      <c r="Q39" s="267">
        <v>0</v>
      </c>
      <c r="R39" s="267">
        <v>0</v>
      </c>
      <c r="S39" s="267">
        <v>0</v>
      </c>
      <c r="T39" s="267">
        <v>0</v>
      </c>
      <c r="U39" s="267">
        <v>0</v>
      </c>
      <c r="V39" s="323">
        <f>(SUM(J39:U39)-P39)</f>
        <v>0</v>
      </c>
      <c r="W39" s="269" t="e">
        <f>VLOOKUP(B39,#REF!,35,0)</f>
        <v>#REF!</v>
      </c>
      <c r="X39" s="267" t="e">
        <f>VLOOKUP(B39,#REF!,37,0)</f>
        <v>#REF!</v>
      </c>
      <c r="Y39" s="270" t="e">
        <f>VLOOKUP(B39,#REF!,38,0)</f>
        <v>#REF!</v>
      </c>
      <c r="Z39" s="267" t="e">
        <f>VLOOKUP(B39,#REF!,72,0)</f>
        <v>#REF!</v>
      </c>
      <c r="AA39" s="267" t="e">
        <f>VLOOKUP(B39,#REF!,71,0)</f>
        <v>#REF!</v>
      </c>
      <c r="AB39" s="267" t="e">
        <f>VLOOKUP(B39,#REF!,36,0)</f>
        <v>#REF!</v>
      </c>
      <c r="AC39" s="267"/>
      <c r="AD39" s="271"/>
      <c r="AE39" s="271"/>
      <c r="AF39" s="271"/>
      <c r="AG39" s="271"/>
      <c r="AH39" s="271"/>
      <c r="AI39" s="271"/>
      <c r="AJ39" s="271"/>
      <c r="AK39" s="268" t="e">
        <f>V39/#REF!*(W39+Z39/8*2+AA39/8*1.5+AB39*3)+J39/#REF!*(X39+Y39)+AC39+P39+AE39+AG39+AH39+AI39+AJ39</f>
        <v>#REF!</v>
      </c>
      <c r="AL39" s="267">
        <f t="shared" si="21"/>
        <v>0</v>
      </c>
      <c r="AM39" s="414">
        <v>0</v>
      </c>
      <c r="AN39" s="272" t="e">
        <f>VLOOKUP(B39,#REF!,75,0)</f>
        <v>#REF!</v>
      </c>
      <c r="AO39" s="272"/>
      <c r="AP39" s="273" t="e">
        <f t="shared" ref="AP39" si="25">ROUND(AK39-AL39-AN39+AO39,-1)</f>
        <v>#REF!</v>
      </c>
    </row>
    <row r="40" spans="1:42" s="523" customFormat="1">
      <c r="A40" s="509"/>
      <c r="B40" s="511" t="s">
        <v>755</v>
      </c>
      <c r="C40" s="525" t="s">
        <v>757</v>
      </c>
      <c r="D40" s="510" t="str">
        <f>'THANG B.LUONG'!B69</f>
        <v>CV giám sát thi công</v>
      </c>
      <c r="E40" s="512">
        <v>43250</v>
      </c>
      <c r="F40" s="527">
        <v>3</v>
      </c>
      <c r="G40" s="514">
        <f t="shared" si="16"/>
        <v>0</v>
      </c>
      <c r="H40" s="514">
        <f t="shared" si="17"/>
        <v>2</v>
      </c>
      <c r="I40" s="515">
        <f t="shared" si="18"/>
        <v>26</v>
      </c>
      <c r="J40" s="550">
        <f>VLOOKUP(D40,'THANG B.LUONG'!$B$5:$I$513,F40+1,0)</f>
        <v>0</v>
      </c>
      <c r="K40" s="515">
        <v>0</v>
      </c>
      <c r="L40" s="515">
        <v>0</v>
      </c>
      <c r="M40" s="515">
        <f t="shared" si="20"/>
        <v>0</v>
      </c>
      <c r="N40" s="515">
        <v>0</v>
      </c>
      <c r="O40" s="515">
        <v>0</v>
      </c>
      <c r="P40" s="515">
        <v>200</v>
      </c>
      <c r="Q40" s="515">
        <v>0</v>
      </c>
      <c r="R40" s="515">
        <v>0</v>
      </c>
      <c r="S40" s="515">
        <v>0</v>
      </c>
      <c r="T40" s="515">
        <v>0</v>
      </c>
      <c r="U40" s="515">
        <v>0</v>
      </c>
      <c r="V40" s="551">
        <f>(SUM(J40:U40)-P40)*0.85</f>
        <v>0</v>
      </c>
      <c r="W40" s="517">
        <v>3</v>
      </c>
      <c r="X40" s="515" t="e">
        <f>VLOOKUP(B40,#REF!,37,0)</f>
        <v>#REF!</v>
      </c>
      <c r="Y40" s="518" t="e">
        <f>VLOOKUP(B40,#REF!,38,0)</f>
        <v>#REF!</v>
      </c>
      <c r="Z40" s="515" t="e">
        <f>VLOOKUP(B40,#REF!,72,0)</f>
        <v>#REF!</v>
      </c>
      <c r="AA40" s="515" t="e">
        <f>VLOOKUP(B40,#REF!,71,0)</f>
        <v>#REF!</v>
      </c>
      <c r="AB40" s="515" t="e">
        <f>VLOOKUP(B40,#REF!,36,0)</f>
        <v>#REF!</v>
      </c>
      <c r="AC40" s="515"/>
      <c r="AD40" s="519"/>
      <c r="AE40" s="519"/>
      <c r="AF40" s="519"/>
      <c r="AG40" s="519"/>
      <c r="AH40" s="519"/>
      <c r="AI40" s="519"/>
      <c r="AJ40" s="519"/>
      <c r="AK40" s="516" t="e">
        <f>V40/#REF!*(W40+Z40/8*2+AA40/8*1.5+AB40*3)+J40/#REF!*(X40+Y40)+AC40+P40+AE40+AG40+AH40+AI40+AJ40</f>
        <v>#REF!</v>
      </c>
      <c r="AL40" s="515">
        <f t="shared" si="21"/>
        <v>0</v>
      </c>
      <c r="AM40" s="529">
        <v>0</v>
      </c>
      <c r="AN40" s="520">
        <v>0</v>
      </c>
      <c r="AO40" s="520"/>
      <c r="AP40" s="561" t="e">
        <f t="shared" si="19"/>
        <v>#REF!</v>
      </c>
    </row>
    <row r="41" spans="1:42" s="523" customFormat="1">
      <c r="A41" s="509"/>
      <c r="B41" s="511" t="s">
        <v>755</v>
      </c>
      <c r="C41" s="525" t="s">
        <v>757</v>
      </c>
      <c r="D41" s="510" t="str">
        <f>'THANG B.LUONG'!B69</f>
        <v>CV giám sát thi công</v>
      </c>
      <c r="E41" s="512">
        <v>43250</v>
      </c>
      <c r="F41" s="527">
        <v>3</v>
      </c>
      <c r="G41" s="514">
        <f t="shared" ref="G41" si="26">DATEDIF(E41,$J$3,"y")</f>
        <v>0</v>
      </c>
      <c r="H41" s="514">
        <f t="shared" ref="H41" si="27">DATEDIF(E41,$J$3,"ym")</f>
        <v>2</v>
      </c>
      <c r="I41" s="515">
        <f t="shared" ref="I41" si="28">DATEDIF(E41,$J$3,"md")</f>
        <v>26</v>
      </c>
      <c r="J41" s="550">
        <f>VLOOKUP(D41,'THANG B.LUONG'!$B$5:$I$513,F41+1,0)</f>
        <v>0</v>
      </c>
      <c r="K41" s="515">
        <v>0</v>
      </c>
      <c r="L41" s="515">
        <v>0</v>
      </c>
      <c r="M41" s="515">
        <f t="shared" si="20"/>
        <v>0</v>
      </c>
      <c r="N41" s="515">
        <v>0</v>
      </c>
      <c r="O41" s="515">
        <v>0</v>
      </c>
      <c r="P41" s="515">
        <v>0</v>
      </c>
      <c r="Q41" s="515">
        <v>0</v>
      </c>
      <c r="R41" s="515">
        <v>0</v>
      </c>
      <c r="S41" s="515">
        <v>0</v>
      </c>
      <c r="T41" s="515">
        <v>0</v>
      </c>
      <c r="U41" s="515">
        <v>0</v>
      </c>
      <c r="V41" s="551">
        <f>SUM(J41:U41)-P41</f>
        <v>0</v>
      </c>
      <c r="W41" s="517">
        <v>24</v>
      </c>
      <c r="X41" s="515" t="e">
        <f>VLOOKUP(B41,#REF!,37,0)</f>
        <v>#REF!</v>
      </c>
      <c r="Y41" s="518" t="e">
        <f>VLOOKUP(B41,#REF!,38,0)</f>
        <v>#REF!</v>
      </c>
      <c r="Z41" s="515">
        <v>0</v>
      </c>
      <c r="AA41" s="515" t="e">
        <f>VLOOKUP(B41,#REF!,71,0)</f>
        <v>#REF!</v>
      </c>
      <c r="AB41" s="515" t="e">
        <f>VLOOKUP(B41,#REF!,36,0)</f>
        <v>#REF!</v>
      </c>
      <c r="AC41" s="515"/>
      <c r="AD41" s="519"/>
      <c r="AE41" s="519"/>
      <c r="AF41" s="519"/>
      <c r="AG41" s="519"/>
      <c r="AH41" s="519"/>
      <c r="AI41" s="519"/>
      <c r="AJ41" s="519"/>
      <c r="AK41" s="516" t="e">
        <f>V41/#REF!*(W41+Z41/8*2+AA41/8*1.5+AB41*3)+J41/#REF!*(X41+Y41)+AC41+P41+AE41+AG41+AH41+AI41+AJ41</f>
        <v>#REF!</v>
      </c>
      <c r="AL41" s="515">
        <f t="shared" si="21"/>
        <v>0</v>
      </c>
      <c r="AM41" s="529">
        <v>0</v>
      </c>
      <c r="AN41" s="520" t="e">
        <f>VLOOKUP(B41,#REF!,75,0)</f>
        <v>#REF!</v>
      </c>
      <c r="AO41" s="520"/>
      <c r="AP41" s="561" t="e">
        <f t="shared" ref="AP41" si="29">ROUND(AK41-AL41-AN41+AO41,-1)</f>
        <v>#REF!</v>
      </c>
    </row>
    <row r="42" spans="1:42" s="523" customFormat="1">
      <c r="A42" s="509"/>
      <c r="B42" s="511" t="s">
        <v>756</v>
      </c>
      <c r="C42" s="525" t="s">
        <v>758</v>
      </c>
      <c r="D42" s="510" t="str">
        <f>'THANG B.LUONG'!B69</f>
        <v>CV giám sát thi công</v>
      </c>
      <c r="E42" s="512">
        <v>43271</v>
      </c>
      <c r="F42" s="527">
        <v>2</v>
      </c>
      <c r="G42" s="514">
        <f t="shared" si="16"/>
        <v>0</v>
      </c>
      <c r="H42" s="514">
        <f t="shared" si="17"/>
        <v>2</v>
      </c>
      <c r="I42" s="515">
        <f t="shared" si="18"/>
        <v>5</v>
      </c>
      <c r="J42" s="550">
        <f>VLOOKUP(D42,'THANG B.LUONG'!$B$5:$I$513,F42+1,0)</f>
        <v>0</v>
      </c>
      <c r="K42" s="515">
        <v>0</v>
      </c>
      <c r="L42" s="515">
        <v>0</v>
      </c>
      <c r="M42" s="515">
        <f t="shared" si="20"/>
        <v>0</v>
      </c>
      <c r="N42" s="515">
        <v>0</v>
      </c>
      <c r="O42" s="515">
        <v>0</v>
      </c>
      <c r="P42" s="515">
        <v>200</v>
      </c>
      <c r="Q42" s="515">
        <v>0</v>
      </c>
      <c r="R42" s="515">
        <v>0</v>
      </c>
      <c r="S42" s="515">
        <v>0</v>
      </c>
      <c r="T42" s="515">
        <v>0</v>
      </c>
      <c r="U42" s="515">
        <v>0</v>
      </c>
      <c r="V42" s="551">
        <f>(SUM(J42:U42)-P42)*0.85</f>
        <v>0</v>
      </c>
      <c r="W42" s="517">
        <v>20</v>
      </c>
      <c r="X42" s="515" t="e">
        <f>VLOOKUP(B42,#REF!,37,0)</f>
        <v>#REF!</v>
      </c>
      <c r="Y42" s="518" t="e">
        <f>VLOOKUP(B42,#REF!,38,0)</f>
        <v>#REF!</v>
      </c>
      <c r="Z42" s="515" t="e">
        <f>VLOOKUP(B42,#REF!,72,0)</f>
        <v>#REF!</v>
      </c>
      <c r="AA42" s="515" t="e">
        <f>VLOOKUP(B42,#REF!,71,0)</f>
        <v>#REF!</v>
      </c>
      <c r="AB42" s="515" t="e">
        <f>VLOOKUP(B42,#REF!,36,0)</f>
        <v>#REF!</v>
      </c>
      <c r="AC42" s="515"/>
      <c r="AD42" s="519"/>
      <c r="AE42" s="519"/>
      <c r="AF42" s="519"/>
      <c r="AG42" s="519"/>
      <c r="AH42" s="519"/>
      <c r="AI42" s="519"/>
      <c r="AJ42" s="519"/>
      <c r="AK42" s="516" t="e">
        <f>V42/#REF!*(W42+Z42/8*2+AA42/8*1.5+AB42*3)+J42/#REF!*(X42+Y42)+AC42+P42+AE42+AG42+AH42+AI42+AJ42</f>
        <v>#REF!</v>
      </c>
      <c r="AL42" s="515">
        <f t="shared" si="21"/>
        <v>0</v>
      </c>
      <c r="AM42" s="529">
        <v>0</v>
      </c>
      <c r="AN42" s="520" t="e">
        <f>VLOOKUP(B42,#REF!,75,0)</f>
        <v>#REF!</v>
      </c>
      <c r="AO42" s="520"/>
      <c r="AP42" s="561" t="e">
        <f t="shared" si="19"/>
        <v>#REF!</v>
      </c>
    </row>
    <row r="43" spans="1:42" s="523" customFormat="1">
      <c r="A43" s="509"/>
      <c r="B43" s="511" t="s">
        <v>756</v>
      </c>
      <c r="C43" s="525" t="s">
        <v>758</v>
      </c>
      <c r="D43" s="510" t="str">
        <f>'THANG B.LUONG'!B69</f>
        <v>CV giám sát thi công</v>
      </c>
      <c r="E43" s="512">
        <v>43271</v>
      </c>
      <c r="F43" s="527">
        <v>2</v>
      </c>
      <c r="G43" s="514">
        <f t="shared" ref="G43" si="30">DATEDIF(E43,$J$3,"y")</f>
        <v>0</v>
      </c>
      <c r="H43" s="514">
        <f t="shared" ref="H43" si="31">DATEDIF(E43,$J$3,"ym")</f>
        <v>2</v>
      </c>
      <c r="I43" s="515">
        <f t="shared" ref="I43" si="32">DATEDIF(E43,$J$3,"md")</f>
        <v>5</v>
      </c>
      <c r="J43" s="550">
        <f>VLOOKUP(D43,'THANG B.LUONG'!$B$5:$I$513,F43+1,0)</f>
        <v>0</v>
      </c>
      <c r="K43" s="515">
        <v>0</v>
      </c>
      <c r="L43" s="515">
        <v>0</v>
      </c>
      <c r="M43" s="515">
        <f t="shared" si="20"/>
        <v>0</v>
      </c>
      <c r="N43" s="515">
        <v>0</v>
      </c>
      <c r="O43" s="515">
        <v>0</v>
      </c>
      <c r="P43" s="515">
        <v>0</v>
      </c>
      <c r="Q43" s="515">
        <v>0</v>
      </c>
      <c r="R43" s="515">
        <v>0</v>
      </c>
      <c r="S43" s="515">
        <v>0</v>
      </c>
      <c r="T43" s="515">
        <v>0</v>
      </c>
      <c r="U43" s="515">
        <v>0</v>
      </c>
      <c r="V43" s="551">
        <f>SUM(J43:U43)-P43</f>
        <v>0</v>
      </c>
      <c r="W43" s="517">
        <v>6</v>
      </c>
      <c r="X43" s="515">
        <v>0</v>
      </c>
      <c r="Y43" s="518" t="e">
        <f>VLOOKUP(B43,#REF!,38,0)</f>
        <v>#REF!</v>
      </c>
      <c r="Z43" s="515">
        <v>0</v>
      </c>
      <c r="AA43" s="515" t="e">
        <f>VLOOKUP(B43,#REF!,71,0)</f>
        <v>#REF!</v>
      </c>
      <c r="AB43" s="515" t="e">
        <f>VLOOKUP(B43,#REF!,36,0)</f>
        <v>#REF!</v>
      </c>
      <c r="AC43" s="515"/>
      <c r="AD43" s="519"/>
      <c r="AE43" s="519"/>
      <c r="AF43" s="519"/>
      <c r="AG43" s="519"/>
      <c r="AH43" s="519"/>
      <c r="AI43" s="519"/>
      <c r="AJ43" s="519"/>
      <c r="AK43" s="516" t="e">
        <f>V43/#REF!*(W43+Z43/8*2+AA43/8*1.5+AB43*3)+J43/#REF!*(X43+Y43)+AC43+P43+AE43+AG43+AH43+AI43+AJ43</f>
        <v>#REF!</v>
      </c>
      <c r="AL43" s="515">
        <f t="shared" si="21"/>
        <v>0</v>
      </c>
      <c r="AM43" s="529">
        <v>0</v>
      </c>
      <c r="AN43" s="520">
        <v>0</v>
      </c>
      <c r="AO43" s="520"/>
      <c r="AP43" s="561" t="e">
        <f t="shared" ref="AP43" si="33">ROUND(AK43-AL43-AN43+AO43,-1)</f>
        <v>#REF!</v>
      </c>
    </row>
    <row r="44" spans="1:42" s="459" customFormat="1">
      <c r="A44" s="276"/>
      <c r="B44" s="470"/>
      <c r="C44" s="276" t="s">
        <v>542</v>
      </c>
      <c r="D44" s="277"/>
      <c r="E44" s="494"/>
      <c r="F44" s="235"/>
      <c r="G44" s="235"/>
      <c r="H44" s="235"/>
      <c r="I44" s="235"/>
      <c r="J44" s="235"/>
      <c r="K44" s="235"/>
      <c r="L44" s="235"/>
      <c r="M44" s="235"/>
      <c r="N44" s="235"/>
      <c r="O44" s="235"/>
      <c r="P44" s="235"/>
      <c r="Q44" s="235"/>
      <c r="R44" s="235"/>
      <c r="S44" s="235"/>
      <c r="T44" s="235"/>
      <c r="U44" s="235"/>
      <c r="V44" s="235"/>
      <c r="W44" s="235"/>
      <c r="X44" s="235"/>
      <c r="Y44" s="235"/>
      <c r="Z44" s="235"/>
      <c r="AA44" s="235"/>
      <c r="AB44" s="235"/>
      <c r="AC44" s="235"/>
      <c r="AD44" s="235"/>
      <c r="AE44" s="235"/>
      <c r="AF44" s="235"/>
      <c r="AG44" s="235"/>
      <c r="AH44" s="235"/>
      <c r="AI44" s="235"/>
      <c r="AJ44" s="235"/>
      <c r="AK44" s="261" t="e">
        <f>SUM(AK45:AK50)</f>
        <v>#REF!</v>
      </c>
      <c r="AL44" s="261">
        <f t="shared" ref="AL44:AP44" si="34">SUM(AL45:AL50)</f>
        <v>1396.5</v>
      </c>
      <c r="AM44" s="261">
        <f t="shared" si="34"/>
        <v>13300</v>
      </c>
      <c r="AN44" s="261" t="e">
        <f t="shared" si="34"/>
        <v>#REF!</v>
      </c>
      <c r="AO44" s="261">
        <f t="shared" si="34"/>
        <v>0</v>
      </c>
      <c r="AP44" s="261" t="e">
        <f t="shared" si="34"/>
        <v>#REF!</v>
      </c>
    </row>
    <row r="45" spans="1:42" s="460" customFormat="1" ht="13.5" customHeight="1">
      <c r="A45" s="262"/>
      <c r="B45" s="469" t="s">
        <v>333</v>
      </c>
      <c r="C45" s="274" t="s">
        <v>419</v>
      </c>
      <c r="D45" s="279" t="s">
        <v>299</v>
      </c>
      <c r="E45" s="493">
        <v>42891</v>
      </c>
      <c r="F45" s="265">
        <v>3</v>
      </c>
      <c r="G45" s="266">
        <f t="shared" ref="G45:G49" si="35">DATEDIF(E45,$J$3,"y")</f>
        <v>1</v>
      </c>
      <c r="H45" s="266">
        <f t="shared" ref="H45:H49" si="36">DATEDIF(E45,$J$3,"ym")</f>
        <v>2</v>
      </c>
      <c r="I45" s="267">
        <f t="shared" ref="I45:I49" si="37">DATEDIF(E45,$J$3,"md")</f>
        <v>20</v>
      </c>
      <c r="J45" s="267">
        <f>VLOOKUP(D45,'THANG B.LUONG'!$B$5:$I$513,F45+1,0)</f>
        <v>0</v>
      </c>
      <c r="K45" s="267">
        <v>0</v>
      </c>
      <c r="L45" s="267">
        <v>3000</v>
      </c>
      <c r="M45" s="267">
        <f t="shared" si="3"/>
        <v>0</v>
      </c>
      <c r="N45" s="267">
        <v>0</v>
      </c>
      <c r="O45" s="267">
        <v>1000</v>
      </c>
      <c r="P45" s="267">
        <v>1000</v>
      </c>
      <c r="Q45" s="267">
        <v>0</v>
      </c>
      <c r="R45" s="267">
        <v>0</v>
      </c>
      <c r="S45" s="267">
        <v>0</v>
      </c>
      <c r="T45" s="267">
        <v>0</v>
      </c>
      <c r="U45" s="267">
        <v>0</v>
      </c>
      <c r="V45" s="268">
        <f t="shared" si="1"/>
        <v>4000</v>
      </c>
      <c r="W45" s="269" t="e">
        <f>VLOOKUP(B45,#REF!,35,0)</f>
        <v>#REF!</v>
      </c>
      <c r="X45" s="267" t="e">
        <f>VLOOKUP(B45,#REF!,37,0)</f>
        <v>#REF!</v>
      </c>
      <c r="Y45" s="270" t="e">
        <f>VLOOKUP(B45,#REF!,38,0)</f>
        <v>#REF!</v>
      </c>
      <c r="Z45" s="267" t="e">
        <f>VLOOKUP(B45,#REF!,72,0)</f>
        <v>#REF!</v>
      </c>
      <c r="AA45" s="267" t="e">
        <f>VLOOKUP(B45,#REF!,71,0)</f>
        <v>#REF!</v>
      </c>
      <c r="AB45" s="267" t="e">
        <f>VLOOKUP(B45,#REF!,36,0)</f>
        <v>#REF!</v>
      </c>
      <c r="AC45" s="267"/>
      <c r="AD45" s="271"/>
      <c r="AE45" s="271"/>
      <c r="AF45" s="271"/>
      <c r="AG45" s="271"/>
      <c r="AH45" s="271"/>
      <c r="AI45" s="271"/>
      <c r="AJ45" s="271"/>
      <c r="AK45" s="268" t="e">
        <f>V45/#REF!*(W45+Z45/8*2+AA45/8*1.5+AB45*3)+J45/#REF!*(X45+Y45)+AC45+P45+AE45+AG45+AH45+AI45+AJ45</f>
        <v>#REF!</v>
      </c>
      <c r="AL45" s="267">
        <f t="shared" si="2"/>
        <v>871.5</v>
      </c>
      <c r="AM45" s="320">
        <v>8300</v>
      </c>
      <c r="AN45" s="272" t="e">
        <f>VLOOKUP(B45,#REF!,75,0)</f>
        <v>#REF!</v>
      </c>
      <c r="AO45" s="272"/>
      <c r="AP45" s="273" t="e">
        <f t="shared" ref="AP45:AP49" si="38">ROUND(AK45-AL45-AN45+AO45,-1)</f>
        <v>#REF!</v>
      </c>
    </row>
    <row r="46" spans="1:42" s="459" customFormat="1">
      <c r="A46" s="262"/>
      <c r="B46" s="391" t="s">
        <v>332</v>
      </c>
      <c r="C46" s="232" t="s">
        <v>408</v>
      </c>
      <c r="D46" s="280" t="str">
        <f>'THANG B.LUONG'!B39</f>
        <v>CV thu mua vật tư</v>
      </c>
      <c r="E46" s="493">
        <v>39083</v>
      </c>
      <c r="F46" s="265">
        <v>3</v>
      </c>
      <c r="G46" s="266">
        <f t="shared" si="35"/>
        <v>11</v>
      </c>
      <c r="H46" s="266">
        <f t="shared" si="36"/>
        <v>7</v>
      </c>
      <c r="I46" s="267">
        <f t="shared" si="37"/>
        <v>24</v>
      </c>
      <c r="J46" s="267">
        <f>VLOOKUP(D46,'THANG B.LUONG'!$B$5:$I$513,F46+1,0)</f>
        <v>0</v>
      </c>
      <c r="K46" s="267">
        <v>0</v>
      </c>
      <c r="L46" s="267">
        <v>0</v>
      </c>
      <c r="M46" s="267">
        <f t="shared" si="3"/>
        <v>0</v>
      </c>
      <c r="N46" s="267">
        <v>0</v>
      </c>
      <c r="O46" s="267">
        <v>0</v>
      </c>
      <c r="P46" s="267">
        <v>300</v>
      </c>
      <c r="Q46" s="267">
        <v>0</v>
      </c>
      <c r="R46" s="267">
        <v>0</v>
      </c>
      <c r="S46" s="267">
        <v>0</v>
      </c>
      <c r="T46" s="267">
        <v>0</v>
      </c>
      <c r="U46" s="267">
        <v>0</v>
      </c>
      <c r="V46" s="268">
        <f t="shared" si="1"/>
        <v>0</v>
      </c>
      <c r="W46" s="269" t="e">
        <f>VLOOKUP(B46,#REF!,35,0)</f>
        <v>#REF!</v>
      </c>
      <c r="X46" s="267" t="e">
        <f>VLOOKUP(B46,#REF!,37,0)</f>
        <v>#REF!</v>
      </c>
      <c r="Y46" s="270" t="e">
        <f>VLOOKUP(B46,#REF!,38,0)</f>
        <v>#REF!</v>
      </c>
      <c r="Z46" s="267" t="e">
        <f>VLOOKUP(B46,#REF!,72,0)</f>
        <v>#REF!</v>
      </c>
      <c r="AA46" s="267" t="e">
        <f>VLOOKUP(B46,#REF!,71,0)</f>
        <v>#REF!</v>
      </c>
      <c r="AB46" s="267" t="e">
        <f>VLOOKUP(B46,#REF!,36,0)</f>
        <v>#REF!</v>
      </c>
      <c r="AC46" s="267"/>
      <c r="AD46" s="271"/>
      <c r="AE46" s="271"/>
      <c r="AF46" s="271"/>
      <c r="AG46" s="271"/>
      <c r="AH46" s="271"/>
      <c r="AI46" s="271"/>
      <c r="AJ46" s="271"/>
      <c r="AK46" s="268" t="e">
        <f>V46/#REF!*(W46+Z46/8*2+AA46/8*1.5+AB46*3)+J46/#REF!*(X46+Y46)+AC46+P46+AE46+AG46+AH46+AI46+AJ46</f>
        <v>#REF!</v>
      </c>
      <c r="AL46" s="267">
        <f t="shared" si="2"/>
        <v>525</v>
      </c>
      <c r="AM46" s="414">
        <v>5000</v>
      </c>
      <c r="AN46" s="272" t="e">
        <f>VLOOKUP(B46,#REF!,75,0)</f>
        <v>#REF!</v>
      </c>
      <c r="AO46" s="272"/>
      <c r="AP46" s="273" t="e">
        <f t="shared" si="38"/>
        <v>#REF!</v>
      </c>
    </row>
    <row r="47" spans="1:42" s="459" customFormat="1">
      <c r="A47" s="262"/>
      <c r="B47" s="391" t="s">
        <v>738</v>
      </c>
      <c r="C47" s="284" t="s">
        <v>739</v>
      </c>
      <c r="D47" s="280" t="str">
        <f>'THANG B.LUONG'!B39</f>
        <v>CV thu mua vật tư</v>
      </c>
      <c r="E47" s="493">
        <v>43236</v>
      </c>
      <c r="F47" s="265">
        <v>5</v>
      </c>
      <c r="G47" s="266">
        <f t="shared" ref="G47" si="39">DATEDIF(E47,$J$3,"y")</f>
        <v>0</v>
      </c>
      <c r="H47" s="266">
        <f t="shared" ref="H47" si="40">DATEDIF(E47,$J$3,"ym")</f>
        <v>3</v>
      </c>
      <c r="I47" s="267">
        <f t="shared" ref="I47" si="41">DATEDIF(E47,$J$3,"md")</f>
        <v>9</v>
      </c>
      <c r="J47" s="267">
        <f>VLOOKUP(D47,'THANG B.LUONG'!$B$5:$I$513,F47+1,0)</f>
        <v>0</v>
      </c>
      <c r="K47" s="267">
        <v>0</v>
      </c>
      <c r="L47" s="267">
        <v>0</v>
      </c>
      <c r="M47" s="267">
        <f>IF(G47&gt;=3,J47*(0.03+(G47-3)*0.01),0)</f>
        <v>0</v>
      </c>
      <c r="N47" s="267">
        <v>0</v>
      </c>
      <c r="O47" s="267">
        <v>0</v>
      </c>
      <c r="P47" s="267">
        <v>300</v>
      </c>
      <c r="Q47" s="267">
        <v>0</v>
      </c>
      <c r="R47" s="267">
        <v>0</v>
      </c>
      <c r="S47" s="267">
        <v>0</v>
      </c>
      <c r="T47" s="267">
        <v>0</v>
      </c>
      <c r="U47" s="267">
        <v>2890</v>
      </c>
      <c r="V47" s="323">
        <f>SUM(J47:U47)-P47</f>
        <v>2890</v>
      </c>
      <c r="W47" s="269" t="e">
        <f>VLOOKUP(B47,#REF!,35,0)</f>
        <v>#REF!</v>
      </c>
      <c r="X47" s="267" t="e">
        <f>VLOOKUP(B47,#REF!,37,0)</f>
        <v>#REF!</v>
      </c>
      <c r="Y47" s="270" t="e">
        <f>VLOOKUP(B47,#REF!,38,0)</f>
        <v>#REF!</v>
      </c>
      <c r="Z47" s="267" t="e">
        <f>VLOOKUP(B47,#REF!,72,0)</f>
        <v>#REF!</v>
      </c>
      <c r="AA47" s="267" t="e">
        <f>VLOOKUP(B47,#REF!,71,0)</f>
        <v>#REF!</v>
      </c>
      <c r="AB47" s="267" t="e">
        <f>VLOOKUP(B47,#REF!,36,0)</f>
        <v>#REF!</v>
      </c>
      <c r="AC47" s="267"/>
      <c r="AD47" s="271"/>
      <c r="AE47" s="271"/>
      <c r="AF47" s="271"/>
      <c r="AG47" s="271"/>
      <c r="AH47" s="271"/>
      <c r="AI47" s="271"/>
      <c r="AJ47" s="271"/>
      <c r="AK47" s="268" t="e">
        <f>V47/#REF!*(W47+Z47/8*2+AA47/8*1.5+AB47*3)+J47/#REF!*(X47+Y47)+AC47+P47+AE47+AG47+AH47+AI47+AJ47</f>
        <v>#REF!</v>
      </c>
      <c r="AL47" s="267">
        <f>AM47*$AN$3</f>
        <v>0</v>
      </c>
      <c r="AM47" s="414">
        <v>0</v>
      </c>
      <c r="AN47" s="272" t="e">
        <f>VLOOKUP(B47,#REF!,75,0)</f>
        <v>#REF!</v>
      </c>
      <c r="AO47" s="272"/>
      <c r="AP47" s="273" t="e">
        <f t="shared" ref="AP47" si="42">ROUND(AK47-AL47-AN47+AO47,-1)</f>
        <v>#REF!</v>
      </c>
    </row>
    <row r="48" spans="1:42" s="459" customFormat="1">
      <c r="A48" s="262"/>
      <c r="B48" s="391" t="s">
        <v>740</v>
      </c>
      <c r="C48" s="284" t="s">
        <v>741</v>
      </c>
      <c r="D48" s="285" t="str">
        <f>'THANG B.LUONG'!B42</f>
        <v>CV kế hoạch tổng hợp</v>
      </c>
      <c r="E48" s="493">
        <v>43241</v>
      </c>
      <c r="F48" s="265">
        <v>3</v>
      </c>
      <c r="G48" s="266">
        <f t="shared" ref="G48" si="43">DATEDIF(E48,$J$3,"y")</f>
        <v>0</v>
      </c>
      <c r="H48" s="266">
        <f t="shared" ref="H48" si="44">DATEDIF(E48,$J$3,"ym")</f>
        <v>3</v>
      </c>
      <c r="I48" s="267">
        <f t="shared" ref="I48" si="45">DATEDIF(E48,$J$3,"md")</f>
        <v>4</v>
      </c>
      <c r="J48" s="267">
        <f>VLOOKUP(D48,'THANG B.LUONG'!$B$5:$I$513,F48+1,0)</f>
        <v>0</v>
      </c>
      <c r="K48" s="267">
        <v>0</v>
      </c>
      <c r="L48" s="267">
        <v>0</v>
      </c>
      <c r="M48" s="267">
        <f>IF(G48&gt;=3,J48*(0.03+(G48-3)*0.01),0)</f>
        <v>0</v>
      </c>
      <c r="N48" s="267">
        <v>0</v>
      </c>
      <c r="O48" s="267">
        <v>0</v>
      </c>
      <c r="P48" s="267">
        <v>300</v>
      </c>
      <c r="Q48" s="267">
        <v>0</v>
      </c>
      <c r="R48" s="267">
        <v>0</v>
      </c>
      <c r="S48" s="267">
        <v>0</v>
      </c>
      <c r="T48" s="267">
        <v>0</v>
      </c>
      <c r="U48" s="267">
        <v>0</v>
      </c>
      <c r="V48" s="268">
        <f>SUM(J48:U48)-P48</f>
        <v>0</v>
      </c>
      <c r="W48" s="269" t="e">
        <f>VLOOKUP(B48,#REF!,35,0)</f>
        <v>#REF!</v>
      </c>
      <c r="X48" s="267" t="e">
        <f>VLOOKUP(B48,#REF!,37,0)</f>
        <v>#REF!</v>
      </c>
      <c r="Y48" s="270" t="e">
        <f>VLOOKUP(B48,#REF!,38,0)</f>
        <v>#REF!</v>
      </c>
      <c r="Z48" s="267" t="e">
        <f>VLOOKUP(B48,#REF!,72,0)</f>
        <v>#REF!</v>
      </c>
      <c r="AA48" s="267" t="e">
        <f>VLOOKUP(B48,#REF!,71,0)</f>
        <v>#REF!</v>
      </c>
      <c r="AB48" s="267" t="e">
        <f>VLOOKUP(B48,#REF!,36,0)</f>
        <v>#REF!</v>
      </c>
      <c r="AC48" s="267"/>
      <c r="AD48" s="271"/>
      <c r="AE48" s="271"/>
      <c r="AF48" s="271"/>
      <c r="AG48" s="271"/>
      <c r="AH48" s="271"/>
      <c r="AI48" s="271"/>
      <c r="AJ48" s="271"/>
      <c r="AK48" s="268" t="e">
        <f>V48/#REF!*(W48+Z48/8*2+AA48/8*1.5+AB48*3)+J48/#REF!*(X48+Y48)+AC48+P48+AE48+AG48+AH48+AI48+AJ48</f>
        <v>#REF!</v>
      </c>
      <c r="AL48" s="267">
        <f>AM48*$AN$3</f>
        <v>0</v>
      </c>
      <c r="AM48" s="414">
        <v>0</v>
      </c>
      <c r="AN48" s="272" t="e">
        <f>VLOOKUP(B48,#REF!,75,0)</f>
        <v>#REF!</v>
      </c>
      <c r="AO48" s="272"/>
      <c r="AP48" s="273" t="e">
        <f t="shared" ref="AP48" si="46">ROUND(AK48-AL48-AN48+AO48,-1)</f>
        <v>#REF!</v>
      </c>
    </row>
    <row r="49" spans="1:42" s="459" customFormat="1">
      <c r="A49" s="262"/>
      <c r="B49" s="473" t="s">
        <v>560</v>
      </c>
      <c r="C49" s="409" t="s">
        <v>561</v>
      </c>
      <c r="D49" s="409" t="str">
        <f>'THANG B.LUONG'!B40</f>
        <v>NV Thu mua MMTB</v>
      </c>
      <c r="E49" s="493">
        <v>43087</v>
      </c>
      <c r="F49" s="265">
        <v>3</v>
      </c>
      <c r="G49" s="266">
        <f t="shared" si="35"/>
        <v>0</v>
      </c>
      <c r="H49" s="266">
        <f t="shared" si="36"/>
        <v>8</v>
      </c>
      <c r="I49" s="267">
        <f t="shared" si="37"/>
        <v>7</v>
      </c>
      <c r="J49" s="267">
        <f>VLOOKUP(D49,'THANG B.LUONG'!$B$5:$I$513,F49+1,0)</f>
        <v>0</v>
      </c>
      <c r="K49" s="267">
        <v>0</v>
      </c>
      <c r="L49" s="267">
        <v>0</v>
      </c>
      <c r="M49" s="267">
        <f>IF(G49&gt;=3,J49*(0.03+(G49-3)*0.01),0)</f>
        <v>0</v>
      </c>
      <c r="N49" s="267">
        <v>0</v>
      </c>
      <c r="O49" s="267">
        <v>0</v>
      </c>
      <c r="P49" s="267">
        <v>300</v>
      </c>
      <c r="Q49" s="267">
        <v>0</v>
      </c>
      <c r="R49" s="267">
        <v>0</v>
      </c>
      <c r="S49" s="267">
        <v>0</v>
      </c>
      <c r="T49" s="267">
        <v>0</v>
      </c>
      <c r="U49" s="267">
        <v>0</v>
      </c>
      <c r="V49" s="268">
        <f>SUM(J49:U49)-P49</f>
        <v>0</v>
      </c>
      <c r="W49" s="269" t="e">
        <f>VLOOKUP(B49,#REF!,35,0)</f>
        <v>#REF!</v>
      </c>
      <c r="X49" s="267" t="e">
        <f>VLOOKUP(B49,#REF!,37,0)</f>
        <v>#REF!</v>
      </c>
      <c r="Y49" s="270" t="e">
        <f>VLOOKUP(B49,#REF!,38,0)</f>
        <v>#REF!</v>
      </c>
      <c r="Z49" s="267">
        <v>0</v>
      </c>
      <c r="AA49" s="267">
        <v>0</v>
      </c>
      <c r="AB49" s="267">
        <v>0</v>
      </c>
      <c r="AC49" s="267"/>
      <c r="AD49" s="271"/>
      <c r="AE49" s="271"/>
      <c r="AF49" s="271"/>
      <c r="AG49" s="271"/>
      <c r="AH49" s="271"/>
      <c r="AI49" s="271"/>
      <c r="AJ49" s="271"/>
      <c r="AK49" s="268" t="e">
        <f>V49/#REF!*(W49+Z49/8*2+AA49/8*1.5+AB49*3)+J49/#REF!*(X49+Y49)+AC49+P49+AE49+AG49+AH49+AI49+AJ49</f>
        <v>#REF!</v>
      </c>
      <c r="AL49" s="267">
        <f>AM49*$AN$3</f>
        <v>0</v>
      </c>
      <c r="AM49" s="271">
        <v>0</v>
      </c>
      <c r="AN49" s="272" t="e">
        <f>VLOOKUP(B49,#REF!,75,0)</f>
        <v>#REF!</v>
      </c>
      <c r="AO49" s="272"/>
      <c r="AP49" s="273" t="e">
        <f t="shared" si="38"/>
        <v>#REF!</v>
      </c>
    </row>
    <row r="50" spans="1:42" s="523" customFormat="1">
      <c r="A50" s="509"/>
      <c r="B50" s="544" t="s">
        <v>795</v>
      </c>
      <c r="C50" s="545" t="s">
        <v>796</v>
      </c>
      <c r="D50" s="545" t="str">
        <f>'THANG B.LUONG'!B39</f>
        <v>CV thu mua vật tư</v>
      </c>
      <c r="E50" s="512">
        <v>43332</v>
      </c>
      <c r="F50" s="527">
        <v>0</v>
      </c>
      <c r="G50" s="514">
        <f t="shared" ref="G50" si="47">DATEDIF(E50,$J$3,"y")</f>
        <v>0</v>
      </c>
      <c r="H50" s="514">
        <f t="shared" ref="H50" si="48">DATEDIF(E50,$J$3,"ym")</f>
        <v>0</v>
      </c>
      <c r="I50" s="515">
        <f t="shared" ref="I50" si="49">DATEDIF(E50,$J$3,"md")</f>
        <v>5</v>
      </c>
      <c r="J50" s="515">
        <v>14150</v>
      </c>
      <c r="K50" s="515">
        <v>0</v>
      </c>
      <c r="L50" s="515">
        <v>0</v>
      </c>
      <c r="M50" s="515">
        <f>IF(G50&gt;=3,J50*(0.03+(G50-3)*0.01),0)</f>
        <v>0</v>
      </c>
      <c r="N50" s="515">
        <v>0</v>
      </c>
      <c r="O50" s="515">
        <v>0</v>
      </c>
      <c r="P50" s="515">
        <v>300</v>
      </c>
      <c r="Q50" s="515">
        <v>0</v>
      </c>
      <c r="R50" s="515">
        <v>0</v>
      </c>
      <c r="S50" s="515">
        <v>0</v>
      </c>
      <c r="T50" s="515">
        <v>0</v>
      </c>
      <c r="U50" s="515">
        <v>0</v>
      </c>
      <c r="V50" s="516">
        <f>(SUM(J50:U50)-P50)*0.85</f>
        <v>12027.5</v>
      </c>
      <c r="W50" s="517" t="e">
        <f>VLOOKUP(B50,#REF!,35,0)</f>
        <v>#REF!</v>
      </c>
      <c r="X50" s="515" t="e">
        <f>VLOOKUP(B50,#REF!,37,0)</f>
        <v>#REF!</v>
      </c>
      <c r="Y50" s="518" t="e">
        <f>VLOOKUP(B50,#REF!,38,0)</f>
        <v>#REF!</v>
      </c>
      <c r="Z50" s="515">
        <v>0</v>
      </c>
      <c r="AA50" s="515">
        <v>0</v>
      </c>
      <c r="AB50" s="515">
        <v>0</v>
      </c>
      <c r="AC50" s="515"/>
      <c r="AD50" s="519"/>
      <c r="AE50" s="519"/>
      <c r="AF50" s="519"/>
      <c r="AG50" s="519"/>
      <c r="AH50" s="519"/>
      <c r="AI50" s="519"/>
      <c r="AJ50" s="519"/>
      <c r="AK50" s="516" t="e">
        <f>V50/#REF!*(W50+Z50/8*2+AA50/8*1.5+AB50*3)+J50/#REF!*(X50+Y50)+AC50+P50+AE50+AG50+AH50+AI50+AJ50</f>
        <v>#REF!</v>
      </c>
      <c r="AL50" s="515">
        <f>AM50*$AN$3</f>
        <v>0</v>
      </c>
      <c r="AM50" s="519">
        <v>0</v>
      </c>
      <c r="AN50" s="520" t="e">
        <f>VLOOKUP(B50,#REF!,75,0)</f>
        <v>#REF!</v>
      </c>
      <c r="AO50" s="520"/>
      <c r="AP50" s="521" t="e">
        <f t="shared" ref="AP50" si="50">ROUND(AK50-AL50-AN50+AO50,-1)</f>
        <v>#REF!</v>
      </c>
    </row>
    <row r="51" spans="1:42" s="459" customFormat="1">
      <c r="A51" s="276"/>
      <c r="B51" s="470"/>
      <c r="C51" s="286" t="s">
        <v>550</v>
      </c>
      <c r="D51" s="287"/>
      <c r="E51" s="494"/>
      <c r="F51" s="235"/>
      <c r="G51" s="235"/>
      <c r="H51" s="235"/>
      <c r="I51" s="235"/>
      <c r="J51" s="235"/>
      <c r="K51" s="235"/>
      <c r="L51" s="235"/>
      <c r="M51" s="235"/>
      <c r="N51" s="235"/>
      <c r="O51" s="235"/>
      <c r="P51" s="235"/>
      <c r="Q51" s="235"/>
      <c r="R51" s="235"/>
      <c r="S51" s="235"/>
      <c r="T51" s="235"/>
      <c r="U51" s="235"/>
      <c r="V51" s="235"/>
      <c r="W51" s="235"/>
      <c r="X51" s="235"/>
      <c r="Y51" s="235"/>
      <c r="Z51" s="235"/>
      <c r="AA51" s="235"/>
      <c r="AB51" s="235"/>
      <c r="AC51" s="235"/>
      <c r="AD51" s="235"/>
      <c r="AE51" s="235"/>
      <c r="AF51" s="235"/>
      <c r="AG51" s="235"/>
      <c r="AH51" s="235"/>
      <c r="AI51" s="235"/>
      <c r="AJ51" s="235"/>
      <c r="AK51" s="261" t="e">
        <f>SUM(AK52:AK56)</f>
        <v>#REF!</v>
      </c>
      <c r="AL51" s="261">
        <f t="shared" ref="AL51:AP51" si="51">SUM(AL52:AL56)</f>
        <v>2887.5</v>
      </c>
      <c r="AM51" s="261">
        <f t="shared" si="51"/>
        <v>27500</v>
      </c>
      <c r="AN51" s="261" t="e">
        <f t="shared" si="51"/>
        <v>#REF!</v>
      </c>
      <c r="AO51" s="261">
        <f t="shared" si="51"/>
        <v>0</v>
      </c>
      <c r="AP51" s="261" t="e">
        <f t="shared" si="51"/>
        <v>#REF!</v>
      </c>
    </row>
    <row r="52" spans="1:42" s="459" customFormat="1">
      <c r="A52" s="262"/>
      <c r="B52" s="469" t="s">
        <v>334</v>
      </c>
      <c r="C52" s="274" t="s">
        <v>409</v>
      </c>
      <c r="D52" s="279" t="s">
        <v>258</v>
      </c>
      <c r="E52" s="493">
        <v>40848</v>
      </c>
      <c r="F52" s="265">
        <v>2</v>
      </c>
      <c r="G52" s="266">
        <f>DATEDIF(E52,$J$3,"y")</f>
        <v>6</v>
      </c>
      <c r="H52" s="266">
        <f>DATEDIF(E52,$J$3,"ym")</f>
        <v>9</v>
      </c>
      <c r="I52" s="267">
        <f>DATEDIF(E52,$J$3,"md")</f>
        <v>24</v>
      </c>
      <c r="J52" s="267">
        <f>VLOOKUP(D52,'THANG B.LUONG'!$B$5:$I$513,F52+1,0)</f>
        <v>0</v>
      </c>
      <c r="K52" s="267">
        <v>0</v>
      </c>
      <c r="L52" s="267">
        <v>3000</v>
      </c>
      <c r="M52" s="267">
        <f t="shared" si="3"/>
        <v>0</v>
      </c>
      <c r="N52" s="267">
        <v>0</v>
      </c>
      <c r="O52" s="267">
        <v>1000</v>
      </c>
      <c r="P52" s="267">
        <v>1000</v>
      </c>
      <c r="Q52" s="267">
        <v>0</v>
      </c>
      <c r="R52" s="267">
        <v>0</v>
      </c>
      <c r="S52" s="267">
        <v>0</v>
      </c>
      <c r="T52" s="267">
        <v>0</v>
      </c>
      <c r="U52" s="267">
        <v>0</v>
      </c>
      <c r="V52" s="268">
        <f t="shared" si="1"/>
        <v>4000</v>
      </c>
      <c r="W52" s="269" t="e">
        <f>VLOOKUP(B52,#REF!,35,0)</f>
        <v>#REF!</v>
      </c>
      <c r="X52" s="267" t="e">
        <f>VLOOKUP(B52,#REF!,37,0)</f>
        <v>#REF!</v>
      </c>
      <c r="Y52" s="270" t="e">
        <f>VLOOKUP(B52,#REF!,38,0)</f>
        <v>#REF!</v>
      </c>
      <c r="Z52" s="267" t="e">
        <f>VLOOKUP(B52,#REF!,72,0)</f>
        <v>#REF!</v>
      </c>
      <c r="AA52" s="267" t="e">
        <f>VLOOKUP(B52,#REF!,71,0)</f>
        <v>#REF!</v>
      </c>
      <c r="AB52" s="267" t="e">
        <f>VLOOKUP(B52,#REF!,36,0)</f>
        <v>#REF!</v>
      </c>
      <c r="AC52" s="267"/>
      <c r="AD52" s="271"/>
      <c r="AE52" s="271"/>
      <c r="AF52" s="271"/>
      <c r="AG52" s="271"/>
      <c r="AH52" s="271"/>
      <c r="AI52" s="271"/>
      <c r="AJ52" s="271"/>
      <c r="AK52" s="268" t="e">
        <f>V52/#REF!*(W52+Z52/8*2+AA52/8*1.5+AB52*3)+J52/#REF!*(X52+Y52)+AC52+P52+AE52+AG52+AH52+AI52+AJ52</f>
        <v>#REF!</v>
      </c>
      <c r="AL52" s="267">
        <f t="shared" si="2"/>
        <v>871.5</v>
      </c>
      <c r="AM52" s="414">
        <v>8300</v>
      </c>
      <c r="AN52" s="272" t="e">
        <f>VLOOKUP(B52,#REF!,75,0)</f>
        <v>#REF!</v>
      </c>
      <c r="AO52" s="272"/>
      <c r="AP52" s="273" t="e">
        <f>ROUND(AK52-AL52-AN52+AO52,-1)</f>
        <v>#REF!</v>
      </c>
    </row>
    <row r="53" spans="1:42" s="459" customFormat="1">
      <c r="A53" s="262"/>
      <c r="B53" s="391" t="s">
        <v>335</v>
      </c>
      <c r="C53" s="232" t="s">
        <v>410</v>
      </c>
      <c r="D53" s="280" t="s">
        <v>259</v>
      </c>
      <c r="E53" s="493">
        <v>41487</v>
      </c>
      <c r="F53" s="265">
        <v>4</v>
      </c>
      <c r="G53" s="266">
        <f>DATEDIF(E53,$J$3,"y")</f>
        <v>5</v>
      </c>
      <c r="H53" s="266">
        <f>DATEDIF(E53,$J$3,"ym")</f>
        <v>0</v>
      </c>
      <c r="I53" s="267">
        <f>DATEDIF(E53,$J$3,"md")</f>
        <v>24</v>
      </c>
      <c r="J53" s="267">
        <f>VLOOKUP(D53,'THANG B.LUONG'!$B$5:$I$513,F53+1,0)</f>
        <v>0</v>
      </c>
      <c r="K53" s="267">
        <v>0</v>
      </c>
      <c r="L53" s="267">
        <v>0</v>
      </c>
      <c r="M53" s="267">
        <f t="shared" si="3"/>
        <v>0</v>
      </c>
      <c r="N53" s="267">
        <v>0</v>
      </c>
      <c r="O53" s="267">
        <v>0</v>
      </c>
      <c r="P53" s="267">
        <v>0</v>
      </c>
      <c r="Q53" s="267">
        <v>0</v>
      </c>
      <c r="R53" s="267">
        <v>0</v>
      </c>
      <c r="S53" s="267">
        <v>0</v>
      </c>
      <c r="T53" s="267">
        <v>0</v>
      </c>
      <c r="U53" s="267">
        <v>0</v>
      </c>
      <c r="V53" s="268">
        <f t="shared" si="1"/>
        <v>0</v>
      </c>
      <c r="W53" s="269" t="e">
        <f>VLOOKUP(B53,#REF!,35,0)</f>
        <v>#REF!</v>
      </c>
      <c r="X53" s="267" t="e">
        <f>VLOOKUP(B53,#REF!,37,0)</f>
        <v>#REF!</v>
      </c>
      <c r="Y53" s="270" t="e">
        <f>VLOOKUP(B53,#REF!,38,0)</f>
        <v>#REF!</v>
      </c>
      <c r="Z53" s="267" t="e">
        <f>VLOOKUP(B53,#REF!,72,0)</f>
        <v>#REF!</v>
      </c>
      <c r="AA53" s="267" t="e">
        <f>VLOOKUP(B53,#REF!,71,0)</f>
        <v>#REF!</v>
      </c>
      <c r="AB53" s="267" t="e">
        <f>VLOOKUP(B53,#REF!,36,0)</f>
        <v>#REF!</v>
      </c>
      <c r="AC53" s="267"/>
      <c r="AD53" s="271"/>
      <c r="AE53" s="271"/>
      <c r="AF53" s="271"/>
      <c r="AG53" s="271"/>
      <c r="AH53" s="271"/>
      <c r="AI53" s="271"/>
      <c r="AJ53" s="271"/>
      <c r="AK53" s="268" t="e">
        <f>V53/#REF!*(W53+Z53/8*2+AA53/8*1.5+AB53*3)+J53/#REF!*(X53+Y53)+AC53+P53+AE53+AG53+AH53+AI53+AJ53</f>
        <v>#REF!</v>
      </c>
      <c r="AL53" s="267">
        <f t="shared" si="2"/>
        <v>504</v>
      </c>
      <c r="AM53" s="414">
        <v>4800</v>
      </c>
      <c r="AN53" s="272" t="e">
        <f>VLOOKUP(B53,#REF!,75,0)</f>
        <v>#REF!</v>
      </c>
      <c r="AO53" s="272"/>
      <c r="AP53" s="273" t="e">
        <f>ROUND(AK53-AL53-AN53+AO53,-1)</f>
        <v>#REF!</v>
      </c>
    </row>
    <row r="54" spans="1:42" s="459" customFormat="1">
      <c r="A54" s="262"/>
      <c r="B54" s="391" t="s">
        <v>336</v>
      </c>
      <c r="C54" s="232" t="s">
        <v>411</v>
      </c>
      <c r="D54" s="280" t="s">
        <v>259</v>
      </c>
      <c r="E54" s="493">
        <v>42569</v>
      </c>
      <c r="F54" s="265">
        <v>3</v>
      </c>
      <c r="G54" s="266">
        <f>DATEDIF(E54,$J$3,"y")</f>
        <v>2</v>
      </c>
      <c r="H54" s="266">
        <f>DATEDIF(E54,$J$3,"ym")</f>
        <v>1</v>
      </c>
      <c r="I54" s="267">
        <f>DATEDIF(E54,$J$3,"md")</f>
        <v>7</v>
      </c>
      <c r="J54" s="267">
        <f>VLOOKUP(D54,'THANG B.LUONG'!$B$5:$I$513,F54+1,0)</f>
        <v>0</v>
      </c>
      <c r="K54" s="267">
        <v>0</v>
      </c>
      <c r="L54" s="267">
        <v>0</v>
      </c>
      <c r="M54" s="267">
        <f t="shared" si="3"/>
        <v>0</v>
      </c>
      <c r="N54" s="267">
        <v>0</v>
      </c>
      <c r="O54" s="267">
        <v>0</v>
      </c>
      <c r="P54" s="267">
        <v>0</v>
      </c>
      <c r="Q54" s="267">
        <v>0</v>
      </c>
      <c r="R54" s="267">
        <v>0</v>
      </c>
      <c r="S54" s="267">
        <v>0</v>
      </c>
      <c r="T54" s="267">
        <v>0</v>
      </c>
      <c r="U54" s="267">
        <v>0</v>
      </c>
      <c r="V54" s="268">
        <f t="shared" si="1"/>
        <v>0</v>
      </c>
      <c r="W54" s="269" t="e">
        <f>VLOOKUP(B54,#REF!,35,0)</f>
        <v>#REF!</v>
      </c>
      <c r="X54" s="267" t="e">
        <f>VLOOKUP(B54,#REF!,37,0)</f>
        <v>#REF!</v>
      </c>
      <c r="Y54" s="270" t="e">
        <f>VLOOKUP(B54,#REF!,38,0)</f>
        <v>#REF!</v>
      </c>
      <c r="Z54" s="267" t="e">
        <f>VLOOKUP(B54,#REF!,72,0)</f>
        <v>#REF!</v>
      </c>
      <c r="AA54" s="267" t="e">
        <f>VLOOKUP(B54,#REF!,71,0)</f>
        <v>#REF!</v>
      </c>
      <c r="AB54" s="267" t="e">
        <f>VLOOKUP(B54,#REF!,36,0)</f>
        <v>#REF!</v>
      </c>
      <c r="AC54" s="267"/>
      <c r="AD54" s="271"/>
      <c r="AE54" s="271"/>
      <c r="AF54" s="271"/>
      <c r="AG54" s="271"/>
      <c r="AH54" s="271"/>
      <c r="AI54" s="271"/>
      <c r="AJ54" s="271"/>
      <c r="AK54" s="268" t="e">
        <f>V54/#REF!*(W54+Z54/8*2+AA54/8*1.5+AB54*3)+J54/#REF!*(X54+Y54)+AC54+P54+AE54+AG54+AH54+AI54+AJ54</f>
        <v>#REF!</v>
      </c>
      <c r="AL54" s="267">
        <f t="shared" si="2"/>
        <v>504</v>
      </c>
      <c r="AM54" s="414">
        <v>4800</v>
      </c>
      <c r="AN54" s="272" t="e">
        <f>VLOOKUP(B54,#REF!,75,0)</f>
        <v>#REF!</v>
      </c>
      <c r="AO54" s="272"/>
      <c r="AP54" s="273" t="e">
        <f>ROUND(AK54-AL54-AN54+AO54,-1)</f>
        <v>#REF!</v>
      </c>
    </row>
    <row r="55" spans="1:42" s="459" customFormat="1">
      <c r="A55" s="262"/>
      <c r="B55" s="391" t="s">
        <v>588</v>
      </c>
      <c r="C55" s="232" t="s">
        <v>439</v>
      </c>
      <c r="D55" s="280" t="s">
        <v>259</v>
      </c>
      <c r="E55" s="493">
        <v>42835</v>
      </c>
      <c r="F55" s="265">
        <v>1</v>
      </c>
      <c r="G55" s="266">
        <f>DATEDIF(E55,$J$3,"y")</f>
        <v>1</v>
      </c>
      <c r="H55" s="266">
        <f>DATEDIF(E55,$J$3,"ym")</f>
        <v>4</v>
      </c>
      <c r="I55" s="267">
        <f>DATEDIF(E55,$J$3,"md")</f>
        <v>15</v>
      </c>
      <c r="J55" s="267">
        <f>VLOOKUP(D55,'THANG B.LUONG'!$B$5:$I$513,F55+1,0)</f>
        <v>0</v>
      </c>
      <c r="K55" s="267">
        <v>0</v>
      </c>
      <c r="L55" s="267">
        <v>0</v>
      </c>
      <c r="M55" s="267">
        <f>IF(G55&gt;=3,J55*(0.03+(G55-3)*0.01),0)</f>
        <v>0</v>
      </c>
      <c r="N55" s="267">
        <v>0</v>
      </c>
      <c r="O55" s="267">
        <v>0</v>
      </c>
      <c r="P55" s="267">
        <v>0</v>
      </c>
      <c r="Q55" s="267">
        <v>0</v>
      </c>
      <c r="R55" s="267">
        <v>0</v>
      </c>
      <c r="S55" s="267">
        <v>0</v>
      </c>
      <c r="T55" s="267">
        <v>0</v>
      </c>
      <c r="U55" s="267">
        <v>0</v>
      </c>
      <c r="V55" s="268">
        <f t="shared" si="1"/>
        <v>0</v>
      </c>
      <c r="W55" s="269" t="e">
        <f>VLOOKUP(B55,#REF!,35,0)</f>
        <v>#REF!</v>
      </c>
      <c r="X55" s="267" t="e">
        <f>VLOOKUP(B55,#REF!,37,0)</f>
        <v>#REF!</v>
      </c>
      <c r="Y55" s="270" t="e">
        <f>VLOOKUP(B55,#REF!,38,0)</f>
        <v>#REF!</v>
      </c>
      <c r="Z55" s="267" t="e">
        <f>VLOOKUP(B55,#REF!,72,0)</f>
        <v>#REF!</v>
      </c>
      <c r="AA55" s="267" t="e">
        <f>VLOOKUP(B55,#REF!,71,0)</f>
        <v>#REF!</v>
      </c>
      <c r="AB55" s="267" t="e">
        <f>VLOOKUP(B55,#REF!,36,0)</f>
        <v>#REF!</v>
      </c>
      <c r="AC55" s="267"/>
      <c r="AD55" s="271"/>
      <c r="AE55" s="271"/>
      <c r="AF55" s="271"/>
      <c r="AG55" s="271"/>
      <c r="AH55" s="271"/>
      <c r="AI55" s="271"/>
      <c r="AJ55" s="271"/>
      <c r="AK55" s="268" t="e">
        <f>V55/#REF!*(W55+Z55/8*2+AA55/8*1.5+AB55*3)+J55/#REF!*(X55+Y55)+AC55+P55+AE55+AG55+AH55+AI55+AJ55</f>
        <v>#REF!</v>
      </c>
      <c r="AL55" s="267">
        <f>AM55*$AN$3</f>
        <v>504</v>
      </c>
      <c r="AM55" s="414">
        <v>4800</v>
      </c>
      <c r="AN55" s="272" t="e">
        <f>VLOOKUP(B55,#REF!,75,0)</f>
        <v>#REF!</v>
      </c>
      <c r="AO55" s="272"/>
      <c r="AP55" s="273" t="e">
        <f>ROUND(AK55-AL55-AN55+AO55,-1)</f>
        <v>#REF!</v>
      </c>
    </row>
    <row r="56" spans="1:42" s="459" customFormat="1">
      <c r="A56" s="262"/>
      <c r="B56" s="391" t="s">
        <v>628</v>
      </c>
      <c r="C56" s="232" t="s">
        <v>414</v>
      </c>
      <c r="D56" s="280" t="str">
        <f>'THANG B.LUONG'!B34</f>
        <v>NV nghiệm thu thanh toán</v>
      </c>
      <c r="E56" s="493">
        <v>42565</v>
      </c>
      <c r="F56" s="265">
        <v>3</v>
      </c>
      <c r="G56" s="266">
        <f>DATEDIF(E56,$J$3,"y")</f>
        <v>2</v>
      </c>
      <c r="H56" s="266">
        <f>DATEDIF(E56,$J$3,"ym")</f>
        <v>1</v>
      </c>
      <c r="I56" s="267">
        <f>DATEDIF(E56,$J$3,"md")</f>
        <v>11</v>
      </c>
      <c r="J56" s="267">
        <f>VLOOKUP(D56,'THANG B.LUONG'!$B$5:$I$513,F56+1,0)</f>
        <v>0</v>
      </c>
      <c r="K56" s="267">
        <v>0</v>
      </c>
      <c r="L56" s="267">
        <v>0</v>
      </c>
      <c r="M56" s="267">
        <f>IF(G56&gt;=3,J56*(0.03+(G56-3)*0.01),0)</f>
        <v>0</v>
      </c>
      <c r="N56" s="267">
        <v>0</v>
      </c>
      <c r="O56" s="267">
        <v>0</v>
      </c>
      <c r="P56" s="267">
        <v>0</v>
      </c>
      <c r="Q56" s="267">
        <v>0</v>
      </c>
      <c r="R56" s="267">
        <v>0</v>
      </c>
      <c r="S56" s="267">
        <v>0</v>
      </c>
      <c r="T56" s="267">
        <v>0</v>
      </c>
      <c r="U56" s="267">
        <v>0</v>
      </c>
      <c r="V56" s="268">
        <f t="shared" si="1"/>
        <v>0</v>
      </c>
      <c r="W56" s="269" t="e">
        <f>VLOOKUP(B56,#REF!,35,0)</f>
        <v>#REF!</v>
      </c>
      <c r="X56" s="267" t="e">
        <f>VLOOKUP(B56,#REF!,37,0)</f>
        <v>#REF!</v>
      </c>
      <c r="Y56" s="270">
        <v>0</v>
      </c>
      <c r="Z56" s="267">
        <v>0</v>
      </c>
      <c r="AA56" s="267">
        <v>0</v>
      </c>
      <c r="AB56" s="267">
        <v>0</v>
      </c>
      <c r="AC56" s="267"/>
      <c r="AD56" s="271"/>
      <c r="AE56" s="271"/>
      <c r="AF56" s="271"/>
      <c r="AG56" s="271"/>
      <c r="AH56" s="271"/>
      <c r="AI56" s="271"/>
      <c r="AJ56" s="271"/>
      <c r="AK56" s="268" t="e">
        <f>V56/#REF!*(W56+Z56/8*2+AA56/8*1.5+AB56*3)+J56/#REF!*(X56+Y56)+AC56+P56+AE56+AG56+AH56+AI56+AJ56</f>
        <v>#REF!</v>
      </c>
      <c r="AL56" s="267">
        <f>AM56*$AN$3</f>
        <v>504</v>
      </c>
      <c r="AM56" s="414">
        <v>4800</v>
      </c>
      <c r="AN56" s="272" t="e">
        <f>VLOOKUP(B56,#REF!,75,0)</f>
        <v>#REF!</v>
      </c>
      <c r="AO56" s="272"/>
      <c r="AP56" s="273" t="e">
        <f>ROUND(AK56-AL56-AN56+AO56,-1)</f>
        <v>#REF!</v>
      </c>
    </row>
    <row r="57" spans="1:42" s="459" customFormat="1">
      <c r="A57" s="276"/>
      <c r="B57" s="470"/>
      <c r="C57" s="286" t="s">
        <v>714</v>
      </c>
      <c r="D57" s="287"/>
      <c r="E57" s="494"/>
      <c r="F57" s="235"/>
      <c r="G57" s="235"/>
      <c r="H57" s="235"/>
      <c r="I57" s="235"/>
      <c r="J57" s="235"/>
      <c r="K57" s="235"/>
      <c r="L57" s="235"/>
      <c r="M57" s="235"/>
      <c r="N57" s="235"/>
      <c r="O57" s="235"/>
      <c r="P57" s="235"/>
      <c r="Q57" s="235"/>
      <c r="R57" s="235"/>
      <c r="S57" s="235"/>
      <c r="T57" s="235"/>
      <c r="U57" s="235"/>
      <c r="V57" s="235"/>
      <c r="W57" s="235"/>
      <c r="X57" s="235"/>
      <c r="Y57" s="235"/>
      <c r="Z57" s="235"/>
      <c r="AA57" s="235"/>
      <c r="AB57" s="235"/>
      <c r="AC57" s="235"/>
      <c r="AD57" s="235"/>
      <c r="AE57" s="235"/>
      <c r="AF57" s="235"/>
      <c r="AG57" s="235"/>
      <c r="AH57" s="235"/>
      <c r="AI57" s="235"/>
      <c r="AJ57" s="235"/>
      <c r="AK57" s="261" t="e">
        <f>SUM(AK58:AK59)</f>
        <v>#REF!</v>
      </c>
      <c r="AL57" s="261">
        <f t="shared" ref="AL57:AP57" si="52">SUM(AL58:AL59)</f>
        <v>0</v>
      </c>
      <c r="AM57" s="261">
        <f t="shared" si="52"/>
        <v>0</v>
      </c>
      <c r="AN57" s="261" t="e">
        <f t="shared" si="52"/>
        <v>#REF!</v>
      </c>
      <c r="AO57" s="261">
        <f t="shared" si="52"/>
        <v>0</v>
      </c>
      <c r="AP57" s="261" t="e">
        <f t="shared" si="52"/>
        <v>#REF!</v>
      </c>
    </row>
    <row r="58" spans="1:42" s="462" customFormat="1">
      <c r="A58" s="394"/>
      <c r="B58" s="469" t="s">
        <v>715</v>
      </c>
      <c r="C58" s="274" t="s">
        <v>716</v>
      </c>
      <c r="D58" s="279" t="str">
        <f>'THANG B.LUONG'!B36</f>
        <v>TRƯỞNG BAN DỰ ÁN NGHIÊN CỨU</v>
      </c>
      <c r="E58" s="498">
        <v>43227</v>
      </c>
      <c r="F58" s="395">
        <v>1</v>
      </c>
      <c r="G58" s="396">
        <f>DATEDIF(E58,$J$3,"y")</f>
        <v>0</v>
      </c>
      <c r="H58" s="533">
        <f>DATEDIF(E58,$J$3,"ym")</f>
        <v>3</v>
      </c>
      <c r="I58" s="397">
        <f>DATEDIF(E58,$J$3,"md")</f>
        <v>18</v>
      </c>
      <c r="J58" s="388">
        <f>VLOOKUP(D58,'THANG B.LUONG'!$B$5:$I$513,F58+1,0)</f>
        <v>0</v>
      </c>
      <c r="K58" s="397">
        <v>0</v>
      </c>
      <c r="L58" s="397">
        <v>3000</v>
      </c>
      <c r="M58" s="397">
        <f>IF(G58&gt;=3,J58*(0.03+(G58-3)*0.01),0)</f>
        <v>0</v>
      </c>
      <c r="N58" s="397">
        <v>0</v>
      </c>
      <c r="O58" s="397">
        <v>1000</v>
      </c>
      <c r="P58" s="397">
        <v>1000</v>
      </c>
      <c r="Q58" s="397">
        <v>0</v>
      </c>
      <c r="R58" s="397">
        <v>0</v>
      </c>
      <c r="S58" s="397">
        <v>0</v>
      </c>
      <c r="T58" s="397">
        <v>0</v>
      </c>
      <c r="U58" s="397">
        <v>0</v>
      </c>
      <c r="V58" s="413">
        <f>SUM(J58:U58)-P58</f>
        <v>4000</v>
      </c>
      <c r="W58" s="517" t="e">
        <f>VLOOKUP(B58,#REF!,35,0)</f>
        <v>#REF!</v>
      </c>
      <c r="X58" s="397" t="e">
        <f>VLOOKUP(B58,#REF!,37,0)</f>
        <v>#REF!</v>
      </c>
      <c r="Y58" s="399" t="e">
        <f>VLOOKUP(B58,#REF!,38,0)</f>
        <v>#REF!</v>
      </c>
      <c r="Z58" s="397" t="e">
        <f>VLOOKUP(B58,#REF!,72,0)</f>
        <v>#REF!</v>
      </c>
      <c r="AA58" s="397" t="e">
        <f>VLOOKUP(B58,#REF!,71,0)</f>
        <v>#REF!</v>
      </c>
      <c r="AB58" s="397" t="e">
        <f>VLOOKUP(B58,#REF!,36,0)</f>
        <v>#REF!</v>
      </c>
      <c r="AC58" s="397"/>
      <c r="AD58" s="400"/>
      <c r="AE58" s="400"/>
      <c r="AF58" s="400"/>
      <c r="AG58" s="400"/>
      <c r="AH58" s="400"/>
      <c r="AI58" s="400"/>
      <c r="AJ58" s="400"/>
      <c r="AK58" s="413" t="e">
        <f>V58/#REF!*(W58+Z58/8*2+AA58/8*1.5+AB58*3)+J58/#REF!*(X58+Y58)+AC58+P58+AE58+AG58+AH58+AI58+AJ58</f>
        <v>#REF!</v>
      </c>
      <c r="AL58" s="397">
        <f>AM58*$AN$3</f>
        <v>0</v>
      </c>
      <c r="AM58" s="445">
        <v>0</v>
      </c>
      <c r="AN58" s="307" t="e">
        <f>VLOOKUP(B58,#REF!,75,0)</f>
        <v>#REF!</v>
      </c>
      <c r="AO58" s="307"/>
      <c r="AP58" s="401" t="e">
        <f>ROUND(AK58-AL58-AN58+AO58,-1)</f>
        <v>#REF!</v>
      </c>
    </row>
    <row r="59" spans="1:42" s="523" customFormat="1">
      <c r="A59" s="509"/>
      <c r="B59" s="511" t="s">
        <v>784</v>
      </c>
      <c r="C59" s="525" t="s">
        <v>785</v>
      </c>
      <c r="D59" s="510" t="str">
        <f>'THANG B.LUONG'!B37</f>
        <v>CV dự án nghiên cứu</v>
      </c>
      <c r="E59" s="512">
        <v>43286</v>
      </c>
      <c r="F59" s="527">
        <v>5</v>
      </c>
      <c r="G59" s="514">
        <f>DATEDIF(E59,$J$3,"y")</f>
        <v>0</v>
      </c>
      <c r="H59" s="514">
        <f>DATEDIF(E59,$J$3,"ym")</f>
        <v>1</v>
      </c>
      <c r="I59" s="515">
        <f>DATEDIF(E59,$J$3,"md")</f>
        <v>20</v>
      </c>
      <c r="J59" s="515">
        <v>17920</v>
      </c>
      <c r="K59" s="515">
        <v>0</v>
      </c>
      <c r="L59" s="515">
        <v>0</v>
      </c>
      <c r="M59" s="515">
        <f>IF(G59&gt;=3,J59*(0.03+(G59-3)*0.01),0)</f>
        <v>0</v>
      </c>
      <c r="N59" s="515">
        <v>0</v>
      </c>
      <c r="O59" s="515">
        <v>0</v>
      </c>
      <c r="P59" s="515">
        <v>200</v>
      </c>
      <c r="Q59" s="515">
        <v>0</v>
      </c>
      <c r="R59" s="515">
        <v>0</v>
      </c>
      <c r="S59" s="515">
        <v>0</v>
      </c>
      <c r="T59" s="515">
        <v>0</v>
      </c>
      <c r="U59" s="515">
        <v>0</v>
      </c>
      <c r="V59" s="408">
        <f>(SUM(J59:U59)-P59)*0.85</f>
        <v>15232</v>
      </c>
      <c r="W59" s="517" t="e">
        <f>VLOOKUP(B59,#REF!,35,0)</f>
        <v>#REF!</v>
      </c>
      <c r="X59" s="515" t="e">
        <f>VLOOKUP(B59,#REF!,37,0)</f>
        <v>#REF!</v>
      </c>
      <c r="Y59" s="518" t="e">
        <f>VLOOKUP(B59,#REF!,38,0)</f>
        <v>#REF!</v>
      </c>
      <c r="Z59" s="515" t="e">
        <f>VLOOKUP(B59,#REF!,72,0)</f>
        <v>#REF!</v>
      </c>
      <c r="AA59" s="515" t="e">
        <f>VLOOKUP(B59,#REF!,71,0)</f>
        <v>#REF!</v>
      </c>
      <c r="AB59" s="515" t="e">
        <f>VLOOKUP(B59,#REF!,36,0)</f>
        <v>#REF!</v>
      </c>
      <c r="AC59" s="515"/>
      <c r="AD59" s="519"/>
      <c r="AE59" s="519"/>
      <c r="AF59" s="519"/>
      <c r="AG59" s="519"/>
      <c r="AH59" s="519"/>
      <c r="AI59" s="519"/>
      <c r="AJ59" s="519"/>
      <c r="AK59" s="515" t="e">
        <f>V59/#REF!*(W59+Z59/8*2+AA59/8*1.5+AB59*3)+J59/#REF!*(X59+Y59)+AC59+P59+AE59+AG59+AH59+AI59+AJ59</f>
        <v>#REF!</v>
      </c>
      <c r="AL59" s="515">
        <f>AM59*$AN$3</f>
        <v>0</v>
      </c>
      <c r="AM59" s="529">
        <v>0</v>
      </c>
      <c r="AN59" s="520" t="e">
        <f>VLOOKUP(B59,#REF!,75,0)</f>
        <v>#REF!</v>
      </c>
      <c r="AO59" s="520"/>
      <c r="AP59" s="520" t="e">
        <f>ROUND(AK59-AL59-AN59+AO59,-1)</f>
        <v>#REF!</v>
      </c>
    </row>
    <row r="60" spans="1:42" s="459" customFormat="1">
      <c r="A60" s="276"/>
      <c r="B60" s="470"/>
      <c r="C60" s="276" t="s">
        <v>541</v>
      </c>
      <c r="D60" s="277"/>
      <c r="E60" s="494"/>
      <c r="F60" s="235"/>
      <c r="G60" s="235"/>
      <c r="H60" s="235"/>
      <c r="I60" s="235"/>
      <c r="J60" s="235"/>
      <c r="K60" s="235"/>
      <c r="L60" s="235"/>
      <c r="M60" s="235"/>
      <c r="N60" s="256"/>
      <c r="O60" s="256"/>
      <c r="P60" s="256"/>
      <c r="Q60" s="256"/>
      <c r="R60" s="256"/>
      <c r="S60" s="256"/>
      <c r="T60" s="256"/>
      <c r="U60" s="256"/>
      <c r="V60" s="257"/>
      <c r="W60" s="258"/>
      <c r="X60" s="256"/>
      <c r="Y60" s="259"/>
      <c r="Z60" s="256"/>
      <c r="AA60" s="256"/>
      <c r="AB60" s="256"/>
      <c r="AC60" s="256"/>
      <c r="AD60" s="260"/>
      <c r="AE60" s="260"/>
      <c r="AF60" s="260"/>
      <c r="AG60" s="260"/>
      <c r="AH60" s="260"/>
      <c r="AI60" s="260"/>
      <c r="AJ60" s="260"/>
      <c r="AK60" s="261" t="e">
        <f>SUM(AK61:AK70)</f>
        <v>#REF!</v>
      </c>
      <c r="AL60" s="261">
        <f t="shared" ref="AL60:AP60" si="53">SUM(AL61:AL70)</f>
        <v>1585.5</v>
      </c>
      <c r="AM60" s="261">
        <f t="shared" si="53"/>
        <v>15100</v>
      </c>
      <c r="AN60" s="261" t="e">
        <f t="shared" si="53"/>
        <v>#REF!</v>
      </c>
      <c r="AO60" s="261">
        <f t="shared" si="53"/>
        <v>0</v>
      </c>
      <c r="AP60" s="261" t="e">
        <f t="shared" si="53"/>
        <v>#REF!</v>
      </c>
    </row>
    <row r="61" spans="1:42" s="459" customFormat="1">
      <c r="A61" s="262"/>
      <c r="B61" s="469" t="s">
        <v>339</v>
      </c>
      <c r="C61" s="274" t="s">
        <v>420</v>
      </c>
      <c r="D61" s="280" t="s">
        <v>300</v>
      </c>
      <c r="E61" s="493">
        <v>42443</v>
      </c>
      <c r="F61" s="265">
        <v>3</v>
      </c>
      <c r="G61" s="266">
        <f t="shared" ref="G61:G63" si="54">DATEDIF(E61,$J$3,"y")</f>
        <v>2</v>
      </c>
      <c r="H61" s="266">
        <f t="shared" ref="H61:H63" si="55">DATEDIF(E61,$J$3,"ym")</f>
        <v>5</v>
      </c>
      <c r="I61" s="267">
        <f t="shared" ref="I61:I63" si="56">DATEDIF(E61,$J$3,"md")</f>
        <v>11</v>
      </c>
      <c r="J61" s="267">
        <f>VLOOKUP(D61,'THANG B.LUONG'!$B$5:$I$513,F61+1,0)</f>
        <v>0</v>
      </c>
      <c r="K61" s="267">
        <v>0</v>
      </c>
      <c r="L61" s="267">
        <v>3000</v>
      </c>
      <c r="M61" s="267">
        <f t="shared" si="3"/>
        <v>0</v>
      </c>
      <c r="N61" s="267">
        <v>0</v>
      </c>
      <c r="O61" s="267">
        <v>1000</v>
      </c>
      <c r="P61" s="267">
        <v>1000</v>
      </c>
      <c r="Q61" s="267">
        <v>0</v>
      </c>
      <c r="R61" s="267">
        <v>0</v>
      </c>
      <c r="S61" s="267">
        <v>0</v>
      </c>
      <c r="T61" s="267">
        <v>0</v>
      </c>
      <c r="U61" s="267">
        <v>0</v>
      </c>
      <c r="V61" s="268">
        <f>SUM(J61:U61)-P61</f>
        <v>4000</v>
      </c>
      <c r="W61" s="269" t="e">
        <f>VLOOKUP(B61,#REF!,35,0)</f>
        <v>#REF!</v>
      </c>
      <c r="X61" s="267" t="e">
        <f>VLOOKUP(B61,#REF!,37,0)</f>
        <v>#REF!</v>
      </c>
      <c r="Y61" s="270" t="e">
        <f>VLOOKUP(B61,#REF!,38,0)</f>
        <v>#REF!</v>
      </c>
      <c r="Z61" s="267" t="e">
        <f>VLOOKUP(B61,#REF!,72,0)</f>
        <v>#REF!</v>
      </c>
      <c r="AA61" s="267" t="e">
        <f>VLOOKUP(B61,#REF!,71,0)</f>
        <v>#REF!</v>
      </c>
      <c r="AB61" s="267" t="e">
        <f>VLOOKUP(B61,#REF!,36,0)</f>
        <v>#REF!</v>
      </c>
      <c r="AC61" s="267"/>
      <c r="AD61" s="271"/>
      <c r="AE61" s="271"/>
      <c r="AF61" s="271"/>
      <c r="AG61" s="271"/>
      <c r="AH61" s="271"/>
      <c r="AI61" s="271"/>
      <c r="AJ61" s="271"/>
      <c r="AK61" s="268" t="e">
        <f>V61/#REF!*(W61+Z61/8*2+AA61/8*1.5+AB61*3)+J61/#REF!*(X61+Y61)+AC61+P61+AE61+AG61+AH61+AI61+AJ61</f>
        <v>#REF!</v>
      </c>
      <c r="AL61" s="267">
        <f t="shared" si="2"/>
        <v>0</v>
      </c>
      <c r="AM61" s="271">
        <v>0</v>
      </c>
      <c r="AN61" s="272" t="e">
        <f>VLOOKUP(B61,#REF!,75,0)</f>
        <v>#REF!</v>
      </c>
      <c r="AO61" s="272"/>
      <c r="AP61" s="273" t="e">
        <f t="shared" ref="AP61:AP63" si="57">ROUND(AK61-AL61-AN61+AO61,-1)</f>
        <v>#REF!</v>
      </c>
    </row>
    <row r="62" spans="1:42" s="459" customFormat="1">
      <c r="A62" s="262"/>
      <c r="B62" s="391" t="s">
        <v>337</v>
      </c>
      <c r="C62" s="232" t="s">
        <v>412</v>
      </c>
      <c r="D62" s="280" t="s">
        <v>261</v>
      </c>
      <c r="E62" s="493">
        <v>42247</v>
      </c>
      <c r="F62" s="265">
        <v>1</v>
      </c>
      <c r="G62" s="266">
        <f t="shared" si="54"/>
        <v>2</v>
      </c>
      <c r="H62" s="266">
        <f t="shared" si="55"/>
        <v>11</v>
      </c>
      <c r="I62" s="267">
        <f t="shared" si="56"/>
        <v>25</v>
      </c>
      <c r="J62" s="267">
        <f>VLOOKUP(D62,'THANG B.LUONG'!$B$5:$I$513,F62+1,0)</f>
        <v>0</v>
      </c>
      <c r="K62" s="267">
        <v>0</v>
      </c>
      <c r="L62" s="267">
        <v>500</v>
      </c>
      <c r="M62" s="267">
        <f t="shared" si="3"/>
        <v>0</v>
      </c>
      <c r="N62" s="267">
        <v>0</v>
      </c>
      <c r="O62" s="267">
        <v>200</v>
      </c>
      <c r="P62" s="267">
        <v>300</v>
      </c>
      <c r="Q62" s="267">
        <v>0</v>
      </c>
      <c r="R62" s="267">
        <v>0</v>
      </c>
      <c r="S62" s="267">
        <v>0</v>
      </c>
      <c r="T62" s="267">
        <v>0</v>
      </c>
      <c r="U62" s="267">
        <v>0</v>
      </c>
      <c r="V62" s="268">
        <f t="shared" si="1"/>
        <v>700</v>
      </c>
      <c r="W62" s="269" t="e">
        <f>VLOOKUP(B62,#REF!,35,0)</f>
        <v>#REF!</v>
      </c>
      <c r="X62" s="267" t="e">
        <f>VLOOKUP(B62,#REF!,37,0)</f>
        <v>#REF!</v>
      </c>
      <c r="Y62" s="270" t="e">
        <f>VLOOKUP(B62,#REF!,38,0)</f>
        <v>#REF!</v>
      </c>
      <c r="Z62" s="267" t="e">
        <f>VLOOKUP(B62,#REF!,72,0)</f>
        <v>#REF!</v>
      </c>
      <c r="AA62" s="267" t="e">
        <f>VLOOKUP(B62,#REF!,71,0)</f>
        <v>#REF!</v>
      </c>
      <c r="AB62" s="267" t="e">
        <f>VLOOKUP(B62,#REF!,36,0)</f>
        <v>#REF!</v>
      </c>
      <c r="AC62" s="267"/>
      <c r="AD62" s="271"/>
      <c r="AE62" s="271"/>
      <c r="AF62" s="271"/>
      <c r="AG62" s="271"/>
      <c r="AH62" s="271"/>
      <c r="AI62" s="271"/>
      <c r="AJ62" s="271">
        <v>200</v>
      </c>
      <c r="AK62" s="268" t="e">
        <f>V62/#REF!*(W62+Z62/8*2+AA62/8*1.5+AB62*3)+J62/#REF!*(X62+Y62)+AC62+P62+AE62+AG62+AH62+AI62+AJ62</f>
        <v>#REF!</v>
      </c>
      <c r="AL62" s="267">
        <f t="shared" si="2"/>
        <v>535.5</v>
      </c>
      <c r="AM62" s="414">
        <v>5100</v>
      </c>
      <c r="AN62" s="272" t="e">
        <f>VLOOKUP(B62,#REF!,75,0)</f>
        <v>#REF!</v>
      </c>
      <c r="AO62" s="272"/>
      <c r="AP62" s="273" t="e">
        <f t="shared" si="57"/>
        <v>#REF!</v>
      </c>
    </row>
    <row r="63" spans="1:42" s="459" customFormat="1">
      <c r="A63" s="262"/>
      <c r="B63" s="391" t="s">
        <v>338</v>
      </c>
      <c r="C63" s="232" t="s">
        <v>413</v>
      </c>
      <c r="D63" s="280" t="s">
        <v>262</v>
      </c>
      <c r="E63" s="493">
        <v>42515</v>
      </c>
      <c r="F63" s="265">
        <v>2</v>
      </c>
      <c r="G63" s="266">
        <f t="shared" si="54"/>
        <v>2</v>
      </c>
      <c r="H63" s="266">
        <f t="shared" si="55"/>
        <v>3</v>
      </c>
      <c r="I63" s="267">
        <f t="shared" si="56"/>
        <v>0</v>
      </c>
      <c r="J63" s="267">
        <f>VLOOKUP(D63,'THANG B.LUONG'!$B$5:$I$513,F63+1,0)</f>
        <v>0</v>
      </c>
      <c r="K63" s="267">
        <v>0</v>
      </c>
      <c r="L63" s="267">
        <v>0</v>
      </c>
      <c r="M63" s="267">
        <f t="shared" si="3"/>
        <v>0</v>
      </c>
      <c r="N63" s="267">
        <v>0</v>
      </c>
      <c r="O63" s="267">
        <v>0</v>
      </c>
      <c r="P63" s="267">
        <v>0</v>
      </c>
      <c r="Q63" s="267">
        <v>0</v>
      </c>
      <c r="R63" s="267">
        <v>0</v>
      </c>
      <c r="S63" s="267">
        <v>0</v>
      </c>
      <c r="T63" s="267">
        <v>0</v>
      </c>
      <c r="U63" s="267">
        <v>0</v>
      </c>
      <c r="V63" s="268">
        <f t="shared" si="1"/>
        <v>0</v>
      </c>
      <c r="W63" s="269" t="e">
        <f>VLOOKUP(B63,#REF!,35,0)</f>
        <v>#REF!</v>
      </c>
      <c r="X63" s="267" t="e">
        <f>VLOOKUP(B63,#REF!,37,0)</f>
        <v>#REF!</v>
      </c>
      <c r="Y63" s="270" t="e">
        <f>VLOOKUP(B63,#REF!,38,0)</f>
        <v>#REF!</v>
      </c>
      <c r="Z63" s="267" t="e">
        <f>VLOOKUP(B63,#REF!,72,0)</f>
        <v>#REF!</v>
      </c>
      <c r="AA63" s="267" t="e">
        <f>VLOOKUP(B63,#REF!,71,0)</f>
        <v>#REF!</v>
      </c>
      <c r="AB63" s="267" t="e">
        <f>VLOOKUP(B63,#REF!,36,0)</f>
        <v>#REF!</v>
      </c>
      <c r="AC63" s="267"/>
      <c r="AD63" s="271"/>
      <c r="AE63" s="271"/>
      <c r="AF63" s="271"/>
      <c r="AG63" s="271"/>
      <c r="AH63" s="271"/>
      <c r="AI63" s="271"/>
      <c r="AJ63" s="271"/>
      <c r="AK63" s="268" t="e">
        <f>V63/#REF!*(W63+Z63/8*2+AA63/8*1.5+AB63*3)+J63/#REF!*(X63+Y63)+AC63+P63+AE63+AG63+AH63+AI63+AJ63</f>
        <v>#REF!</v>
      </c>
      <c r="AL63" s="267">
        <f t="shared" si="2"/>
        <v>525</v>
      </c>
      <c r="AM63" s="414">
        <v>5000</v>
      </c>
      <c r="AN63" s="272" t="e">
        <f>VLOOKUP(B63,#REF!,75,0)</f>
        <v>#REF!</v>
      </c>
      <c r="AO63" s="272"/>
      <c r="AP63" s="273" t="e">
        <f t="shared" si="57"/>
        <v>#REF!</v>
      </c>
    </row>
    <row r="64" spans="1:42" s="523" customFormat="1">
      <c r="A64" s="509"/>
      <c r="B64" s="511" t="s">
        <v>794</v>
      </c>
      <c r="C64" s="525" t="s">
        <v>798</v>
      </c>
      <c r="D64" s="510" t="str">
        <f>'THANG B.LUONG'!B55</f>
        <v>CV nghiên cứu KHCN</v>
      </c>
      <c r="E64" s="512">
        <v>43314</v>
      </c>
      <c r="F64" s="527">
        <v>3</v>
      </c>
      <c r="G64" s="514">
        <f t="shared" ref="G64" si="58">DATEDIF(E64,$J$3,"y")</f>
        <v>0</v>
      </c>
      <c r="H64" s="514">
        <f t="shared" ref="H64" si="59">DATEDIF(E64,$J$3,"ym")</f>
        <v>0</v>
      </c>
      <c r="I64" s="515">
        <f t="shared" ref="I64" si="60">DATEDIF(E64,$J$3,"md")</f>
        <v>23</v>
      </c>
      <c r="J64" s="515">
        <f>VLOOKUP(D64,'THANG B.LUONG'!$B$5:$I$513,F64+1,0)</f>
        <v>0</v>
      </c>
      <c r="K64" s="515">
        <v>0</v>
      </c>
      <c r="L64" s="515">
        <v>0</v>
      </c>
      <c r="M64" s="515">
        <f t="shared" ref="M64" si="61">IF(G64&gt;=3,J64*(0.03+(G64-3)*0.01),0)</f>
        <v>0</v>
      </c>
      <c r="N64" s="515">
        <v>0</v>
      </c>
      <c r="O64" s="515">
        <v>0</v>
      </c>
      <c r="P64" s="515">
        <v>0</v>
      </c>
      <c r="Q64" s="515">
        <v>0</v>
      </c>
      <c r="R64" s="515">
        <v>0</v>
      </c>
      <c r="S64" s="515">
        <v>0</v>
      </c>
      <c r="T64" s="515">
        <v>0</v>
      </c>
      <c r="U64" s="515">
        <v>0</v>
      </c>
      <c r="V64" s="516">
        <f>(SUM(J64:U64)-P64)*0.85</f>
        <v>0</v>
      </c>
      <c r="W64" s="517" t="e">
        <f>VLOOKUP(B64,#REF!,35,0)</f>
        <v>#REF!</v>
      </c>
      <c r="X64" s="515" t="e">
        <f>VLOOKUP(B64,#REF!,37,0)</f>
        <v>#REF!</v>
      </c>
      <c r="Y64" s="518" t="e">
        <f>VLOOKUP(B64,#REF!,38,0)</f>
        <v>#REF!</v>
      </c>
      <c r="Z64" s="515" t="e">
        <f>VLOOKUP(B64,#REF!,72,0)</f>
        <v>#REF!</v>
      </c>
      <c r="AA64" s="515" t="e">
        <f>VLOOKUP(B64,#REF!,71,0)</f>
        <v>#REF!</v>
      </c>
      <c r="AB64" s="515" t="e">
        <f>VLOOKUP(B64,#REF!,36,0)</f>
        <v>#REF!</v>
      </c>
      <c r="AC64" s="515"/>
      <c r="AD64" s="519"/>
      <c r="AE64" s="519"/>
      <c r="AF64" s="519"/>
      <c r="AG64" s="519"/>
      <c r="AH64" s="519"/>
      <c r="AI64" s="519"/>
      <c r="AJ64" s="519"/>
      <c r="AK64" s="516" t="e">
        <f>V64/#REF!*(W64+Z64/8*2+AA64/8*1.5+AB64*3)+J64/#REF!*(X64+Y64)+AC64+P64+AE64+AG64+AH64+AI64+AJ64</f>
        <v>#REF!</v>
      </c>
      <c r="AL64" s="515">
        <f t="shared" ref="AL64" si="62">AM64*$AN$3</f>
        <v>0</v>
      </c>
      <c r="AM64" s="529">
        <v>0</v>
      </c>
      <c r="AN64" s="520" t="e">
        <f>VLOOKUP(B64,#REF!,75,0)</f>
        <v>#REF!</v>
      </c>
      <c r="AO64" s="520"/>
      <c r="AP64" s="521" t="e">
        <f t="shared" ref="AP64" si="63">ROUND(AK64-AL64-AN64+AO64,-1)</f>
        <v>#REF!</v>
      </c>
    </row>
    <row r="65" spans="1:42" s="462" customFormat="1">
      <c r="A65" s="394"/>
      <c r="B65" s="469" t="s">
        <v>734</v>
      </c>
      <c r="C65" s="274" t="s">
        <v>736</v>
      </c>
      <c r="D65" s="279" t="s">
        <v>737</v>
      </c>
      <c r="E65" s="498">
        <v>43235</v>
      </c>
      <c r="F65" s="395">
        <v>1</v>
      </c>
      <c r="G65" s="396">
        <f t="shared" ref="G65" si="64">DATEDIF(E65,$J$3,"y")</f>
        <v>0</v>
      </c>
      <c r="H65" s="396">
        <f t="shared" ref="H65" si="65">DATEDIF(E65,$J$3,"ym")</f>
        <v>3</v>
      </c>
      <c r="I65" s="397">
        <f t="shared" ref="I65" si="66">DATEDIF(E65,$J$3,"md")</f>
        <v>10</v>
      </c>
      <c r="J65" s="397">
        <v>27330</v>
      </c>
      <c r="K65" s="397">
        <v>0</v>
      </c>
      <c r="L65" s="397">
        <v>3000</v>
      </c>
      <c r="M65" s="397">
        <f t="shared" ref="M65" si="67">IF(G65&gt;=3,J65*(0.03+(G65-3)*0.01),0)</f>
        <v>0</v>
      </c>
      <c r="N65" s="397">
        <v>0</v>
      </c>
      <c r="O65" s="397">
        <v>1000</v>
      </c>
      <c r="P65" s="397">
        <v>1000</v>
      </c>
      <c r="Q65" s="397">
        <v>0</v>
      </c>
      <c r="R65" s="397">
        <v>0</v>
      </c>
      <c r="S65" s="397">
        <v>0</v>
      </c>
      <c r="T65" s="397">
        <v>0</v>
      </c>
      <c r="U65" s="397">
        <v>0</v>
      </c>
      <c r="V65" s="413">
        <f>(SUM(J65:U65)-P65)</f>
        <v>31330</v>
      </c>
      <c r="W65" s="398" t="e">
        <f>VLOOKUP(B65,#REF!,35,0)</f>
        <v>#REF!</v>
      </c>
      <c r="X65" s="397" t="e">
        <f>VLOOKUP(B65,#REF!,37,0)</f>
        <v>#REF!</v>
      </c>
      <c r="Y65" s="399" t="e">
        <f>VLOOKUP(B65,#REF!,38,0)</f>
        <v>#REF!</v>
      </c>
      <c r="Z65" s="397" t="e">
        <f>VLOOKUP(B65,#REF!,72,0)</f>
        <v>#REF!</v>
      </c>
      <c r="AA65" s="397" t="e">
        <f>VLOOKUP(B65,#REF!,71,0)</f>
        <v>#REF!</v>
      </c>
      <c r="AB65" s="397" t="e">
        <f>VLOOKUP(B65,#REF!,36,0)</f>
        <v>#REF!</v>
      </c>
      <c r="AC65" s="397"/>
      <c r="AD65" s="400"/>
      <c r="AE65" s="400"/>
      <c r="AF65" s="400"/>
      <c r="AG65" s="400"/>
      <c r="AH65" s="400"/>
      <c r="AI65" s="400"/>
      <c r="AJ65" s="400"/>
      <c r="AK65" s="413" t="e">
        <f>V65/#REF!*(W65+Z65/8*2+AA65/8*1.5+AB65*3)+J65/#REF!*(X65+Y65)+AC65+P65+AE65+AG65+AH65+AI65+AJ65</f>
        <v>#REF!</v>
      </c>
      <c r="AL65" s="397">
        <f t="shared" ref="AL65" si="68">AM65*$AN$3</f>
        <v>0</v>
      </c>
      <c r="AM65" s="400">
        <v>0</v>
      </c>
      <c r="AN65" s="307" t="e">
        <f>VLOOKUP(B65,#REF!,75,0)</f>
        <v>#REF!</v>
      </c>
      <c r="AO65" s="307"/>
      <c r="AP65" s="401" t="e">
        <f t="shared" ref="AP65" si="69">ROUND(AK65-AL65-AN65+AO65,-1)</f>
        <v>#REF!</v>
      </c>
    </row>
    <row r="66" spans="1:42" s="459" customFormat="1">
      <c r="A66" s="262"/>
      <c r="B66" s="391" t="s">
        <v>340</v>
      </c>
      <c r="C66" s="232" t="s">
        <v>421</v>
      </c>
      <c r="D66" s="280" t="s">
        <v>301</v>
      </c>
      <c r="E66" s="493">
        <v>42887</v>
      </c>
      <c r="F66" s="265">
        <v>1</v>
      </c>
      <c r="G66" s="266">
        <f>DATEDIF(E66,$J$3,"y")</f>
        <v>1</v>
      </c>
      <c r="H66" s="266">
        <f>DATEDIF(E66,$J$3,"ym")</f>
        <v>2</v>
      </c>
      <c r="I66" s="267">
        <f>DATEDIF(E66,$J$3,"md")</f>
        <v>24</v>
      </c>
      <c r="J66" s="267">
        <f>VLOOKUP(D66,'THANG B.LUONG'!$B$5:$I$513,F66+1,0)</f>
        <v>0</v>
      </c>
      <c r="K66" s="267">
        <v>0</v>
      </c>
      <c r="L66" s="267">
        <v>0</v>
      </c>
      <c r="M66" s="267">
        <f>IF(G66&gt;=3,J66*(0.03+(G66-3)*0.01),0)</f>
        <v>0</v>
      </c>
      <c r="N66" s="267">
        <v>0</v>
      </c>
      <c r="O66" s="267">
        <v>0</v>
      </c>
      <c r="P66" s="267">
        <v>0</v>
      </c>
      <c r="Q66" s="267">
        <v>0</v>
      </c>
      <c r="R66" s="267">
        <v>0</v>
      </c>
      <c r="S66" s="267">
        <v>0</v>
      </c>
      <c r="T66" s="267">
        <v>0</v>
      </c>
      <c r="U66" s="267">
        <v>0</v>
      </c>
      <c r="V66" s="268">
        <f>SUM(J66:U66)-P66</f>
        <v>0</v>
      </c>
      <c r="W66" s="269" t="e">
        <f>VLOOKUP(B66,#REF!,35,0)</f>
        <v>#REF!</v>
      </c>
      <c r="X66" s="267" t="e">
        <f>VLOOKUP(B66,#REF!,37,0)</f>
        <v>#REF!</v>
      </c>
      <c r="Y66" s="270" t="e">
        <f>VLOOKUP(B66,#REF!,38,0)</f>
        <v>#REF!</v>
      </c>
      <c r="Z66" s="267" t="e">
        <f>VLOOKUP(B66,#REF!,72,0)</f>
        <v>#REF!</v>
      </c>
      <c r="AA66" s="267" t="e">
        <f>VLOOKUP(B66,#REF!,71,0)</f>
        <v>#REF!</v>
      </c>
      <c r="AB66" s="267" t="e">
        <f>VLOOKUP(B66,#REF!,36,0)</f>
        <v>#REF!</v>
      </c>
      <c r="AC66" s="267"/>
      <c r="AD66" s="271"/>
      <c r="AE66" s="271"/>
      <c r="AF66" s="271"/>
      <c r="AG66" s="271"/>
      <c r="AH66" s="271"/>
      <c r="AI66" s="271"/>
      <c r="AJ66" s="271"/>
      <c r="AK66" s="268" t="e">
        <f>V66/#REF!*(W66+Z66/8*2+AA66/8*1.5+AB66*3)+J66/#REF!*(X66+Y66)+AC66+P66+AE66+AG66+AH66+AI66+AJ66</f>
        <v>#REF!</v>
      </c>
      <c r="AL66" s="267">
        <f>AM66*$AN$3</f>
        <v>525</v>
      </c>
      <c r="AM66" s="385">
        <v>5000</v>
      </c>
      <c r="AN66" s="272" t="e">
        <f>VLOOKUP(B66,#REF!,75,0)</f>
        <v>#REF!</v>
      </c>
      <c r="AO66" s="272"/>
      <c r="AP66" s="273" t="e">
        <f>ROUND(AK66-AL66-AN66+AO66,-1)</f>
        <v>#REF!</v>
      </c>
    </row>
    <row r="67" spans="1:42" s="459" customFormat="1">
      <c r="A67" s="262"/>
      <c r="B67" s="391" t="s">
        <v>302</v>
      </c>
      <c r="C67" s="284" t="s">
        <v>223</v>
      </c>
      <c r="D67" s="285" t="s">
        <v>263</v>
      </c>
      <c r="E67" s="493">
        <v>43040</v>
      </c>
      <c r="F67" s="265">
        <v>1</v>
      </c>
      <c r="G67" s="266">
        <f>DATEDIF(E67,$J$3,"y")</f>
        <v>0</v>
      </c>
      <c r="H67" s="266">
        <f>DATEDIF(E67,$J$3,"ym")</f>
        <v>9</v>
      </c>
      <c r="I67" s="267">
        <f>DATEDIF(E67,$J$3,"md")</f>
        <v>24</v>
      </c>
      <c r="J67" s="267">
        <f>VLOOKUP(D67,'THANG B.LUONG'!$B$5:$I$513,F67+1,0)</f>
        <v>0</v>
      </c>
      <c r="K67" s="267">
        <v>0</v>
      </c>
      <c r="L67" s="267">
        <v>0</v>
      </c>
      <c r="M67" s="267">
        <f>IF(G67&gt;=3,J67*(0.03+(G67-3)*0.01),0)</f>
        <v>0</v>
      </c>
      <c r="N67" s="267">
        <v>0</v>
      </c>
      <c r="O67" s="267">
        <v>0</v>
      </c>
      <c r="P67" s="267">
        <v>0</v>
      </c>
      <c r="Q67" s="267">
        <v>0</v>
      </c>
      <c r="R67" s="267">
        <v>0</v>
      </c>
      <c r="S67" s="267">
        <v>0</v>
      </c>
      <c r="T67" s="267">
        <v>0</v>
      </c>
      <c r="U67" s="267">
        <v>0</v>
      </c>
      <c r="V67" s="268">
        <f>SUM(J67:U67)-P67</f>
        <v>0</v>
      </c>
      <c r="W67" s="269" t="e">
        <f>VLOOKUP(B67,#REF!,35,0)</f>
        <v>#REF!</v>
      </c>
      <c r="X67" s="267" t="e">
        <f>VLOOKUP(B67,#REF!,37,0)</f>
        <v>#REF!</v>
      </c>
      <c r="Y67" s="270" t="e">
        <f>VLOOKUP(B67,#REF!,38,0)</f>
        <v>#REF!</v>
      </c>
      <c r="Z67" s="267" t="e">
        <f>VLOOKUP(B67,#REF!,72,0)</f>
        <v>#REF!</v>
      </c>
      <c r="AA67" s="267" t="e">
        <f>VLOOKUP(B67,#REF!,71,0)</f>
        <v>#REF!</v>
      </c>
      <c r="AB67" s="267" t="e">
        <f>VLOOKUP(B67,#REF!,36,0)</f>
        <v>#REF!</v>
      </c>
      <c r="AC67" s="267"/>
      <c r="AD67" s="271"/>
      <c r="AE67" s="271"/>
      <c r="AF67" s="271"/>
      <c r="AG67" s="271"/>
      <c r="AH67" s="271"/>
      <c r="AI67" s="271"/>
      <c r="AJ67" s="271"/>
      <c r="AK67" s="268" t="e">
        <f>V67/#REF!*(W67+Z67/8*2+AA67/8*1.5+AB67*3)+J67/#REF!*(X67+Y67)+AC67+P67+AE67+AG67+AH67+AI67+AJ67</f>
        <v>#REF!</v>
      </c>
      <c r="AL67" s="267">
        <f>AM67*$AN$3</f>
        <v>0</v>
      </c>
      <c r="AM67" s="385">
        <v>0</v>
      </c>
      <c r="AN67" s="272" t="e">
        <f>VLOOKUP(B67,#REF!,75,0)</f>
        <v>#REF!</v>
      </c>
      <c r="AO67" s="272"/>
      <c r="AP67" s="273" t="e">
        <f>ROUND(AK67-AL67-AN67+AO67,-1)</f>
        <v>#REF!</v>
      </c>
    </row>
    <row r="68" spans="1:42" s="459" customFormat="1" ht="14.25" customHeight="1">
      <c r="A68" s="262"/>
      <c r="B68" s="473" t="s">
        <v>640</v>
      </c>
      <c r="C68" s="316" t="s">
        <v>649</v>
      </c>
      <c r="D68" s="285" t="str">
        <f>'THANG B.LUONG'!B57</f>
        <v>CV Phòng thí nghiệm (Quản lý PTN)</v>
      </c>
      <c r="E68" s="493">
        <v>43192</v>
      </c>
      <c r="F68" s="265">
        <v>1</v>
      </c>
      <c r="G68" s="266">
        <f>DATEDIF(E68,$J$3,"y")</f>
        <v>0</v>
      </c>
      <c r="H68" s="266">
        <f>DATEDIF(E68,$J$3,"ym")</f>
        <v>4</v>
      </c>
      <c r="I68" s="267">
        <f>DATEDIF(E68,$J$3,"md")</f>
        <v>23</v>
      </c>
      <c r="J68" s="267">
        <f>VLOOKUP(D68,'THANG B.LUONG'!$B$5:$I$513,F68+1,0)</f>
        <v>0</v>
      </c>
      <c r="K68" s="267">
        <v>0</v>
      </c>
      <c r="L68" s="267">
        <v>0</v>
      </c>
      <c r="M68" s="267">
        <f>IF(G68&gt;=3,J68*(0.03+(G68-3)*0.01),0)</f>
        <v>0</v>
      </c>
      <c r="N68" s="267">
        <v>0</v>
      </c>
      <c r="O68" s="267">
        <v>0</v>
      </c>
      <c r="P68" s="267">
        <v>0</v>
      </c>
      <c r="Q68" s="267">
        <v>0</v>
      </c>
      <c r="R68" s="267">
        <v>0</v>
      </c>
      <c r="S68" s="267">
        <v>0</v>
      </c>
      <c r="T68" s="267">
        <v>0</v>
      </c>
      <c r="U68" s="267">
        <v>0</v>
      </c>
      <c r="V68" s="389">
        <f>(SUM(J68:U68)-P68)*0.85</f>
        <v>0</v>
      </c>
      <c r="W68" s="269" t="e">
        <f>VLOOKUP(B68,#REF!,35,0)</f>
        <v>#REF!</v>
      </c>
      <c r="X68" s="267" t="e">
        <f>VLOOKUP(B68,#REF!,37,0)</f>
        <v>#REF!</v>
      </c>
      <c r="Y68" s="270" t="e">
        <f>VLOOKUP(B68,#REF!,38,0)</f>
        <v>#REF!</v>
      </c>
      <c r="Z68" s="267" t="e">
        <f>VLOOKUP(B68,#REF!,72,0)</f>
        <v>#REF!</v>
      </c>
      <c r="AA68" s="267" t="e">
        <f>VLOOKUP(B68,#REF!,71,0)</f>
        <v>#REF!</v>
      </c>
      <c r="AB68" s="267" t="e">
        <f>VLOOKUP(B68,#REF!,36,0)</f>
        <v>#REF!</v>
      </c>
      <c r="AC68" s="267"/>
      <c r="AD68" s="271"/>
      <c r="AE68" s="271"/>
      <c r="AF68" s="271"/>
      <c r="AG68" s="271"/>
      <c r="AH68" s="271"/>
      <c r="AI68" s="271"/>
      <c r="AJ68" s="271"/>
      <c r="AK68" s="268" t="e">
        <f>V68/#REF!*(W68+Z68/8*2+AA68/8*1.5+AB68*3)+J68/#REF!*(X68+Y68)+AC68+P68+AE68+AG68+AH68+AI68+AJ68</f>
        <v>#REF!</v>
      </c>
      <c r="AL68" s="267">
        <f>AM68*$AN$3</f>
        <v>0</v>
      </c>
      <c r="AM68" s="271">
        <v>0</v>
      </c>
      <c r="AN68" s="272" t="e">
        <f>VLOOKUP(B68,#REF!,75,0)</f>
        <v>#REF!</v>
      </c>
      <c r="AO68" s="272"/>
      <c r="AP68" s="273" t="e">
        <f>ROUND(AK68-AL68-AN68+AO68,-1)</f>
        <v>#REF!</v>
      </c>
    </row>
    <row r="69" spans="1:42" s="459" customFormat="1">
      <c r="A69" s="262"/>
      <c r="B69" s="473" t="s">
        <v>562</v>
      </c>
      <c r="C69" s="409" t="s">
        <v>719</v>
      </c>
      <c r="D69" s="285" t="str">
        <f>'THANG B.LUONG'!B58</f>
        <v>NV Phòng thí nghiệm</v>
      </c>
      <c r="E69" s="493">
        <v>43228</v>
      </c>
      <c r="F69" s="265">
        <v>1</v>
      </c>
      <c r="G69" s="266">
        <f t="shared" ref="G69" si="70">DATEDIF(E69,$J$3,"y")</f>
        <v>0</v>
      </c>
      <c r="H69" s="266">
        <f t="shared" ref="H69" si="71">DATEDIF(E69,$J$3,"ym")</f>
        <v>3</v>
      </c>
      <c r="I69" s="267">
        <f t="shared" ref="I69" si="72">DATEDIF(E69,$J$3,"md")</f>
        <v>17</v>
      </c>
      <c r="J69" s="267">
        <f>VLOOKUP(D69,'THANG B.LUONG'!$B$5:$I$513,F69+1,0)</f>
        <v>0</v>
      </c>
      <c r="K69" s="267">
        <v>0</v>
      </c>
      <c r="L69" s="267">
        <v>0</v>
      </c>
      <c r="M69" s="267">
        <f t="shared" ref="M69" si="73">IF(G69&gt;=3,J69*(0.03+(G69-3)*0.01),0)</f>
        <v>0</v>
      </c>
      <c r="N69" s="267">
        <v>0</v>
      </c>
      <c r="O69" s="267">
        <v>0</v>
      </c>
      <c r="P69" s="267">
        <v>0</v>
      </c>
      <c r="Q69" s="267">
        <v>0</v>
      </c>
      <c r="R69" s="267">
        <v>0</v>
      </c>
      <c r="S69" s="267">
        <v>0</v>
      </c>
      <c r="T69" s="267">
        <v>0</v>
      </c>
      <c r="U69" s="267">
        <v>0</v>
      </c>
      <c r="V69" s="268">
        <f t="shared" si="1"/>
        <v>0</v>
      </c>
      <c r="W69" s="269" t="e">
        <f>VLOOKUP(B69,#REF!,35,0)</f>
        <v>#REF!</v>
      </c>
      <c r="X69" s="267" t="e">
        <f>VLOOKUP(B69,#REF!,37,0)</f>
        <v>#REF!</v>
      </c>
      <c r="Y69" s="270" t="e">
        <f>VLOOKUP(B69,#REF!,38,0)</f>
        <v>#REF!</v>
      </c>
      <c r="Z69" s="267" t="e">
        <f>VLOOKUP(B69,#REF!,72,0)</f>
        <v>#REF!</v>
      </c>
      <c r="AA69" s="267" t="e">
        <f>VLOOKUP(B69,#REF!,71,0)</f>
        <v>#REF!</v>
      </c>
      <c r="AB69" s="267" t="e">
        <f>VLOOKUP(B69,#REF!,36,0)</f>
        <v>#REF!</v>
      </c>
      <c r="AC69" s="267"/>
      <c r="AD69" s="271"/>
      <c r="AE69" s="271"/>
      <c r="AF69" s="271"/>
      <c r="AG69" s="271"/>
      <c r="AH69" s="271"/>
      <c r="AI69" s="271"/>
      <c r="AJ69" s="271"/>
      <c r="AK69" s="268" t="e">
        <f>V69/#REF!*(W69+Z69/8*2+AA69/8*1.5+AB69*3)+J69/#REF!*(X69+Y69)+AC69+P69+AE69+AG69+AH69+AI69+AJ69</f>
        <v>#REF!</v>
      </c>
      <c r="AL69" s="267">
        <f t="shared" ref="AL69" si="74">AM69*$AN$3</f>
        <v>0</v>
      </c>
      <c r="AM69" s="271">
        <v>0</v>
      </c>
      <c r="AN69" s="272" t="e">
        <f>VLOOKUP(B69,#REF!,75,0)</f>
        <v>#REF!</v>
      </c>
      <c r="AO69" s="272"/>
      <c r="AP69" s="273" t="e">
        <f t="shared" ref="AP69" si="75">ROUND(AK69-AL69-AN69+AO69,-1)</f>
        <v>#REF!</v>
      </c>
    </row>
    <row r="70" spans="1:42" s="459" customFormat="1">
      <c r="A70" s="262"/>
      <c r="B70" s="391" t="s">
        <v>610</v>
      </c>
      <c r="C70" s="316" t="s">
        <v>611</v>
      </c>
      <c r="D70" s="285" t="s">
        <v>263</v>
      </c>
      <c r="E70" s="493">
        <v>43171</v>
      </c>
      <c r="F70" s="265">
        <v>1</v>
      </c>
      <c r="G70" s="266">
        <f t="shared" ref="G70" si="76">DATEDIF(E70,$J$3,"y")</f>
        <v>0</v>
      </c>
      <c r="H70" s="266">
        <f t="shared" ref="H70" si="77">DATEDIF(E70,$J$3,"ym")</f>
        <v>5</v>
      </c>
      <c r="I70" s="267">
        <f t="shared" ref="I70" si="78">DATEDIF(E70,$J$3,"md")</f>
        <v>13</v>
      </c>
      <c r="J70" s="267">
        <f>VLOOKUP(D70,'THANG B.LUONG'!$B$5:$I$513,F70+1,0)</f>
        <v>0</v>
      </c>
      <c r="K70" s="267">
        <v>0</v>
      </c>
      <c r="L70" s="267">
        <v>0</v>
      </c>
      <c r="M70" s="267">
        <f t="shared" ref="M70" si="79">IF(G70&gt;=3,J70*(0.03+(G70-3)*0.01),0)</f>
        <v>0</v>
      </c>
      <c r="N70" s="267">
        <v>0</v>
      </c>
      <c r="O70" s="267">
        <v>0</v>
      </c>
      <c r="P70" s="267">
        <v>0</v>
      </c>
      <c r="Q70" s="267">
        <v>0</v>
      </c>
      <c r="R70" s="267">
        <v>0</v>
      </c>
      <c r="S70" s="267">
        <v>0</v>
      </c>
      <c r="T70" s="267">
        <v>0</v>
      </c>
      <c r="U70" s="267">
        <v>0</v>
      </c>
      <c r="V70" s="268">
        <f t="shared" si="1"/>
        <v>0</v>
      </c>
      <c r="W70" s="269" t="e">
        <f>VLOOKUP(B70,#REF!,35,0)</f>
        <v>#REF!</v>
      </c>
      <c r="X70" s="267" t="e">
        <f>VLOOKUP(B70,#REF!,37,0)</f>
        <v>#REF!</v>
      </c>
      <c r="Y70" s="270" t="e">
        <f>VLOOKUP(B70,#REF!,38,0)</f>
        <v>#REF!</v>
      </c>
      <c r="Z70" s="267" t="e">
        <f>VLOOKUP(B70,#REF!,72,0)</f>
        <v>#REF!</v>
      </c>
      <c r="AA70" s="267" t="e">
        <f>VLOOKUP(B70,#REF!,71,0)</f>
        <v>#REF!</v>
      </c>
      <c r="AB70" s="267" t="e">
        <f>VLOOKUP(B70,#REF!,36,0)</f>
        <v>#REF!</v>
      </c>
      <c r="AC70" s="267"/>
      <c r="AD70" s="271"/>
      <c r="AE70" s="271"/>
      <c r="AF70" s="271"/>
      <c r="AG70" s="271"/>
      <c r="AH70" s="271"/>
      <c r="AI70" s="271"/>
      <c r="AJ70" s="271"/>
      <c r="AK70" s="268" t="e">
        <f>V70/#REF!*(W70+Z70/8*2+AA70/8*1.5+AB70*3)+J70/#REF!*(X70+Y70)+AC70+P70+AE70+AG70+AH70+AI70+AJ70</f>
        <v>#REF!</v>
      </c>
      <c r="AL70" s="267">
        <f t="shared" ref="AL70" si="80">AM70*$AN$3</f>
        <v>0</v>
      </c>
      <c r="AM70" s="271">
        <v>0</v>
      </c>
      <c r="AN70" s="272" t="e">
        <f>VLOOKUP(B70,#REF!,75,0)</f>
        <v>#REF!</v>
      </c>
      <c r="AO70" s="272"/>
      <c r="AP70" s="273" t="e">
        <f t="shared" ref="AP70" si="81">ROUND(AK70-AL70-AN70+AO70,-1)</f>
        <v>#REF!</v>
      </c>
    </row>
    <row r="71" spans="1:42" s="459" customFormat="1">
      <c r="A71" s="288"/>
      <c r="B71" s="474"/>
      <c r="C71" s="286" t="s">
        <v>217</v>
      </c>
      <c r="D71" s="287"/>
      <c r="E71" s="494"/>
      <c r="F71" s="235"/>
      <c r="G71" s="235"/>
      <c r="H71" s="235"/>
      <c r="I71" s="235"/>
      <c r="J71" s="235"/>
      <c r="K71" s="235"/>
      <c r="L71" s="235"/>
      <c r="M71" s="235"/>
      <c r="N71" s="235"/>
      <c r="O71" s="235"/>
      <c r="P71" s="235"/>
      <c r="Q71" s="235"/>
      <c r="R71" s="235"/>
      <c r="S71" s="235"/>
      <c r="T71" s="235"/>
      <c r="U71" s="235"/>
      <c r="V71" s="235"/>
      <c r="W71" s="235"/>
      <c r="X71" s="235"/>
      <c r="Y71" s="235"/>
      <c r="Z71" s="235"/>
      <c r="AA71" s="235"/>
      <c r="AB71" s="235"/>
      <c r="AC71" s="235"/>
      <c r="AD71" s="235"/>
      <c r="AE71" s="235"/>
      <c r="AF71" s="235"/>
      <c r="AG71" s="235"/>
      <c r="AH71" s="235"/>
      <c r="AI71" s="235"/>
      <c r="AJ71" s="235"/>
      <c r="AK71" s="261" t="e">
        <f>SUM(AK72)</f>
        <v>#REF!</v>
      </c>
      <c r="AL71" s="261">
        <f t="shared" ref="AL71:AP71" si="82">SUM(AL72)</f>
        <v>871.5</v>
      </c>
      <c r="AM71" s="261">
        <f t="shared" si="82"/>
        <v>8300</v>
      </c>
      <c r="AN71" s="261" t="e">
        <f t="shared" si="82"/>
        <v>#REF!</v>
      </c>
      <c r="AO71" s="261">
        <f t="shared" si="82"/>
        <v>0</v>
      </c>
      <c r="AP71" s="261" t="e">
        <f t="shared" si="82"/>
        <v>#REF!</v>
      </c>
    </row>
    <row r="72" spans="1:42" s="459" customFormat="1">
      <c r="A72" s="262"/>
      <c r="B72" s="469" t="s">
        <v>341</v>
      </c>
      <c r="C72" s="274" t="s">
        <v>422</v>
      </c>
      <c r="D72" s="279" t="s">
        <v>303</v>
      </c>
      <c r="E72" s="493">
        <v>42971</v>
      </c>
      <c r="F72" s="265">
        <v>3</v>
      </c>
      <c r="G72" s="266">
        <f>DATEDIF(E72,$J$3,"y")</f>
        <v>1</v>
      </c>
      <c r="H72" s="266">
        <f>DATEDIF(E72,$J$3,"ym")</f>
        <v>0</v>
      </c>
      <c r="I72" s="267">
        <f>DATEDIF(E72,$J$3,"md")</f>
        <v>1</v>
      </c>
      <c r="J72" s="267">
        <f>VLOOKUP(D72,'THANG B.LUONG'!$B$5:$I$513,F72+1,0)</f>
        <v>0</v>
      </c>
      <c r="K72" s="267">
        <v>0</v>
      </c>
      <c r="L72" s="267">
        <v>3000</v>
      </c>
      <c r="M72" s="267">
        <f t="shared" si="3"/>
        <v>0</v>
      </c>
      <c r="N72" s="267">
        <v>0</v>
      </c>
      <c r="O72" s="267">
        <v>1000</v>
      </c>
      <c r="P72" s="267">
        <v>1000</v>
      </c>
      <c r="Q72" s="267">
        <v>0</v>
      </c>
      <c r="R72" s="267">
        <v>0</v>
      </c>
      <c r="S72" s="267">
        <v>0</v>
      </c>
      <c r="T72" s="267">
        <v>0</v>
      </c>
      <c r="U72" s="267">
        <v>0</v>
      </c>
      <c r="V72" s="268">
        <f t="shared" si="1"/>
        <v>4000</v>
      </c>
      <c r="W72" s="269" t="e">
        <f>VLOOKUP(B72,#REF!,35,0)</f>
        <v>#REF!</v>
      </c>
      <c r="X72" s="267" t="e">
        <f>VLOOKUP(B72,#REF!,37,0)</f>
        <v>#REF!</v>
      </c>
      <c r="Y72" s="270" t="e">
        <f>VLOOKUP(B72,#REF!,38,0)</f>
        <v>#REF!</v>
      </c>
      <c r="Z72" s="267" t="e">
        <f>VLOOKUP(B72,#REF!,72,0)</f>
        <v>#REF!</v>
      </c>
      <c r="AA72" s="267" t="e">
        <f>VLOOKUP(B72,#REF!,71,0)</f>
        <v>#REF!</v>
      </c>
      <c r="AB72" s="267" t="e">
        <f>VLOOKUP(B72,#REF!,36,0)</f>
        <v>#REF!</v>
      </c>
      <c r="AC72" s="267"/>
      <c r="AD72" s="271"/>
      <c r="AE72" s="271"/>
      <c r="AF72" s="271"/>
      <c r="AG72" s="271"/>
      <c r="AH72" s="271"/>
      <c r="AI72" s="271"/>
      <c r="AJ72" s="271"/>
      <c r="AK72" s="268" t="e">
        <f>V72/#REF!*(W72+Z72/8*2+AA72/8*1.5+AB72*3)+J72/#REF!*(X72+Y72)+AC72+P72+AE72+AG72+AH72+AI72+AJ72</f>
        <v>#REF!</v>
      </c>
      <c r="AL72" s="267">
        <f t="shared" si="2"/>
        <v>871.5</v>
      </c>
      <c r="AM72" s="503">
        <v>8300</v>
      </c>
      <c r="AN72" s="272" t="e">
        <f>VLOOKUP(B72,#REF!,75,0)</f>
        <v>#REF!</v>
      </c>
      <c r="AO72" s="272"/>
      <c r="AP72" s="273" t="e">
        <f>ROUND(AK72-AL72-AN72+AO72,-1)</f>
        <v>#REF!</v>
      </c>
    </row>
    <row r="73" spans="1:42" s="459" customFormat="1">
      <c r="A73" s="289"/>
      <c r="B73" s="290" t="s">
        <v>553</v>
      </c>
      <c r="C73" s="290"/>
      <c r="D73" s="290"/>
      <c r="E73" s="497"/>
      <c r="F73" s="290"/>
      <c r="G73" s="290"/>
      <c r="H73" s="290"/>
      <c r="I73" s="290"/>
      <c r="J73" s="291"/>
      <c r="K73" s="291"/>
      <c r="L73" s="291"/>
      <c r="M73" s="291"/>
      <c r="N73" s="291"/>
      <c r="O73" s="291"/>
      <c r="P73" s="291"/>
      <c r="Q73" s="291"/>
      <c r="R73" s="291"/>
      <c r="S73" s="291"/>
      <c r="T73" s="291"/>
      <c r="U73" s="291"/>
      <c r="V73" s="252"/>
      <c r="W73" s="252"/>
      <c r="X73" s="252"/>
      <c r="Y73" s="252"/>
      <c r="Z73" s="252"/>
      <c r="AA73" s="252"/>
      <c r="AB73" s="252"/>
      <c r="AC73" s="252"/>
      <c r="AD73" s="252"/>
      <c r="AE73" s="252"/>
      <c r="AF73" s="252"/>
      <c r="AG73" s="252"/>
      <c r="AH73" s="252"/>
      <c r="AI73" s="252"/>
      <c r="AJ73" s="252"/>
      <c r="AK73" s="252"/>
      <c r="AL73" s="252"/>
      <c r="AM73" s="252"/>
      <c r="AN73" s="252"/>
      <c r="AO73" s="252"/>
      <c r="AP73" s="252"/>
    </row>
    <row r="74" spans="1:42" s="459" customFormat="1">
      <c r="A74" s="276"/>
      <c r="B74" s="470"/>
      <c r="C74" s="277" t="s">
        <v>554</v>
      </c>
      <c r="D74" s="277"/>
      <c r="E74" s="494"/>
      <c r="F74" s="235"/>
      <c r="G74" s="235"/>
      <c r="H74" s="235"/>
      <c r="I74" s="235"/>
      <c r="J74" s="235"/>
      <c r="K74" s="235"/>
      <c r="L74" s="235"/>
      <c r="M74" s="235"/>
      <c r="N74" s="235"/>
      <c r="O74" s="235"/>
      <c r="P74" s="235"/>
      <c r="Q74" s="235"/>
      <c r="R74" s="235"/>
      <c r="S74" s="235"/>
      <c r="T74" s="235"/>
      <c r="U74" s="235"/>
      <c r="V74" s="235"/>
      <c r="W74" s="235"/>
      <c r="X74" s="235"/>
      <c r="Y74" s="235"/>
      <c r="Z74" s="235"/>
      <c r="AA74" s="235"/>
      <c r="AB74" s="235"/>
      <c r="AC74" s="235"/>
      <c r="AD74" s="235"/>
      <c r="AE74" s="235"/>
      <c r="AF74" s="235"/>
      <c r="AG74" s="235"/>
      <c r="AH74" s="235"/>
      <c r="AI74" s="235"/>
      <c r="AJ74" s="235"/>
      <c r="AK74" s="261" t="e">
        <f>SUM(AK75)</f>
        <v>#REF!</v>
      </c>
      <c r="AL74" s="261">
        <f t="shared" ref="AL74:AP74" si="83">SUM(AL75)</f>
        <v>871.5</v>
      </c>
      <c r="AM74" s="261">
        <f t="shared" si="83"/>
        <v>8300</v>
      </c>
      <c r="AN74" s="261" t="e">
        <f t="shared" si="83"/>
        <v>#REF!</v>
      </c>
      <c r="AO74" s="261">
        <f t="shared" si="83"/>
        <v>0</v>
      </c>
      <c r="AP74" s="261" t="e">
        <f t="shared" si="83"/>
        <v>#REF!</v>
      </c>
    </row>
    <row r="75" spans="1:42" s="459" customFormat="1">
      <c r="A75" s="262"/>
      <c r="B75" s="469" t="s">
        <v>327</v>
      </c>
      <c r="C75" s="274" t="s">
        <v>402</v>
      </c>
      <c r="D75" s="279" t="s">
        <v>254</v>
      </c>
      <c r="E75" s="493">
        <v>39471</v>
      </c>
      <c r="F75" s="265">
        <v>2</v>
      </c>
      <c r="G75" s="266">
        <f>DATEDIF(E75,$J$3,"y")</f>
        <v>10</v>
      </c>
      <c r="H75" s="266">
        <f>DATEDIF(E75,$J$3,"ym")</f>
        <v>7</v>
      </c>
      <c r="I75" s="267">
        <f>DATEDIF(E75,$J$3,"md")</f>
        <v>1</v>
      </c>
      <c r="J75" s="267">
        <f>VLOOKUP(D75,'THANG B.LUONG'!$B$5:$I$513,F75+1,0)</f>
        <v>0</v>
      </c>
      <c r="K75" s="267">
        <v>0</v>
      </c>
      <c r="L75" s="267">
        <v>3000</v>
      </c>
      <c r="M75" s="267">
        <f t="shared" si="3"/>
        <v>0</v>
      </c>
      <c r="N75" s="267">
        <v>0</v>
      </c>
      <c r="O75" s="267">
        <v>1000</v>
      </c>
      <c r="P75" s="267">
        <v>1000</v>
      </c>
      <c r="Q75" s="267">
        <v>0</v>
      </c>
      <c r="R75" s="267">
        <v>0</v>
      </c>
      <c r="S75" s="267">
        <v>0</v>
      </c>
      <c r="T75" s="267">
        <v>0</v>
      </c>
      <c r="U75" s="267">
        <v>0</v>
      </c>
      <c r="V75" s="268">
        <f t="shared" si="1"/>
        <v>4000</v>
      </c>
      <c r="W75" s="269" t="e">
        <f>VLOOKUP(B75,#REF!,35,0)</f>
        <v>#REF!</v>
      </c>
      <c r="X75" s="267" t="e">
        <f>VLOOKUP(B75,#REF!,37,0)</f>
        <v>#REF!</v>
      </c>
      <c r="Y75" s="270" t="e">
        <f>VLOOKUP(B75,#REF!,38,0)</f>
        <v>#REF!</v>
      </c>
      <c r="Z75" s="267" t="e">
        <f>VLOOKUP(B75,#REF!,72,0)</f>
        <v>#REF!</v>
      </c>
      <c r="AA75" s="267" t="e">
        <f>VLOOKUP(B75,#REF!,71,0)</f>
        <v>#REF!</v>
      </c>
      <c r="AB75" s="267" t="e">
        <f>VLOOKUP(B75,#REF!,36,0)</f>
        <v>#REF!</v>
      </c>
      <c r="AC75" s="267"/>
      <c r="AD75" s="271"/>
      <c r="AE75" s="271"/>
      <c r="AF75" s="271"/>
      <c r="AG75" s="271"/>
      <c r="AH75" s="271"/>
      <c r="AI75" s="271"/>
      <c r="AJ75" s="271"/>
      <c r="AK75" s="268" t="e">
        <f>V75/#REF!*(W75+Z75/8*2+AA75/8*1.5+AB75*3)+J75/#REF!*(X75+Y75)+AC75+P75+AE75+AG75+AH75+AI75+AJ75</f>
        <v>#REF!</v>
      </c>
      <c r="AL75" s="267">
        <f t="shared" si="2"/>
        <v>871.5</v>
      </c>
      <c r="AM75" s="446">
        <v>8300</v>
      </c>
      <c r="AN75" s="272" t="e">
        <f>VLOOKUP(B75,#REF!,75,0)</f>
        <v>#REF!</v>
      </c>
      <c r="AO75" s="272"/>
      <c r="AP75" s="273" t="e">
        <f>ROUND(AK75-AL75-AN75+AO75,-1)</f>
        <v>#REF!</v>
      </c>
    </row>
    <row r="76" spans="1:42" s="458" customFormat="1" ht="12.75" customHeight="1">
      <c r="A76" s="276"/>
      <c r="B76" s="470"/>
      <c r="C76" s="277" t="s">
        <v>267</v>
      </c>
      <c r="D76" s="277"/>
      <c r="E76" s="494"/>
      <c r="F76" s="235"/>
      <c r="G76" s="235"/>
      <c r="H76" s="235"/>
      <c r="I76" s="235"/>
      <c r="J76" s="235"/>
      <c r="K76" s="235"/>
      <c r="L76" s="235"/>
      <c r="M76" s="235"/>
      <c r="N76" s="235"/>
      <c r="O76" s="235"/>
      <c r="P76" s="235"/>
      <c r="Q76" s="235"/>
      <c r="R76" s="235"/>
      <c r="S76" s="235"/>
      <c r="T76" s="235"/>
      <c r="U76" s="235"/>
      <c r="V76" s="235"/>
      <c r="W76" s="235"/>
      <c r="X76" s="235"/>
      <c r="Y76" s="235"/>
      <c r="Z76" s="235"/>
      <c r="AA76" s="235"/>
      <c r="AB76" s="235"/>
      <c r="AC76" s="235"/>
      <c r="AD76" s="235"/>
      <c r="AE76" s="235"/>
      <c r="AF76" s="235"/>
      <c r="AG76" s="235"/>
      <c r="AH76" s="235"/>
      <c r="AI76" s="235"/>
      <c r="AJ76" s="235"/>
      <c r="AK76" s="261" t="e">
        <f>SUM(AK77:AK84)</f>
        <v>#REF!</v>
      </c>
      <c r="AL76" s="261">
        <f t="shared" ref="AL76:AO76" si="84">SUM(AL77:AL84)</f>
        <v>2047.5</v>
      </c>
      <c r="AM76" s="261">
        <f t="shared" si="84"/>
        <v>19500</v>
      </c>
      <c r="AN76" s="261" t="e">
        <f t="shared" si="84"/>
        <v>#REF!</v>
      </c>
      <c r="AO76" s="261">
        <f t="shared" si="84"/>
        <v>0</v>
      </c>
      <c r="AP76" s="261" t="e">
        <f>SUM(AP77:AP84)</f>
        <v>#REF!</v>
      </c>
    </row>
    <row r="77" spans="1:42" s="459" customFormat="1">
      <c r="A77" s="262"/>
      <c r="B77" s="391" t="s">
        <v>568</v>
      </c>
      <c r="C77" s="293" t="s">
        <v>270</v>
      </c>
      <c r="D77" s="280" t="s">
        <v>271</v>
      </c>
      <c r="E77" s="493">
        <v>41877</v>
      </c>
      <c r="F77" s="265">
        <v>4</v>
      </c>
      <c r="G77" s="266">
        <f t="shared" ref="G77:G83" si="85">DATEDIF(E77,$J$3,"y")</f>
        <v>3</v>
      </c>
      <c r="H77" s="266">
        <f t="shared" ref="H77:H83" si="86">DATEDIF(E77,$J$3,"ym")</f>
        <v>11</v>
      </c>
      <c r="I77" s="267">
        <f t="shared" ref="I77:I83" si="87">DATEDIF(E77,$J$3,"md")</f>
        <v>30</v>
      </c>
      <c r="J77" s="267">
        <f>VLOOKUP(D77,'THANG B.LUONG'!$B$5:$I$513,F77+1,0)</f>
        <v>0</v>
      </c>
      <c r="K77" s="267">
        <v>200</v>
      </c>
      <c r="L77" s="267">
        <v>0</v>
      </c>
      <c r="M77" s="267">
        <f t="shared" si="3"/>
        <v>0</v>
      </c>
      <c r="N77" s="267">
        <v>0</v>
      </c>
      <c r="O77" s="267">
        <v>0</v>
      </c>
      <c r="P77" s="267">
        <v>0</v>
      </c>
      <c r="Q77" s="267">
        <v>0</v>
      </c>
      <c r="R77" s="267">
        <v>0</v>
      </c>
      <c r="S77" s="267">
        <v>0</v>
      </c>
      <c r="T77" s="267">
        <v>0</v>
      </c>
      <c r="U77" s="267">
        <v>0</v>
      </c>
      <c r="V77" s="268">
        <f t="shared" si="1"/>
        <v>200</v>
      </c>
      <c r="W77" s="269" t="e">
        <f>VLOOKUP(B77,#REF!,35,0)</f>
        <v>#REF!</v>
      </c>
      <c r="X77" s="267" t="e">
        <f>VLOOKUP(B77,#REF!,37,0)</f>
        <v>#REF!</v>
      </c>
      <c r="Y77" s="270" t="e">
        <f>VLOOKUP(B77,#REF!,38,0)</f>
        <v>#REF!</v>
      </c>
      <c r="Z77" s="267" t="e">
        <f>VLOOKUP(B77,#REF!,72,0)</f>
        <v>#REF!</v>
      </c>
      <c r="AA77" s="267" t="e">
        <f>VLOOKUP(B77,#REF!,71,0)</f>
        <v>#REF!</v>
      </c>
      <c r="AB77" s="267" t="e">
        <f>VLOOKUP(B77,#REF!,36,0)</f>
        <v>#REF!</v>
      </c>
      <c r="AC77" s="267"/>
      <c r="AD77" s="271"/>
      <c r="AE77" s="271"/>
      <c r="AF77" s="271"/>
      <c r="AG77" s="271"/>
      <c r="AH77" s="405"/>
      <c r="AI77" s="271"/>
      <c r="AJ77" s="271"/>
      <c r="AK77" s="268" t="e">
        <f>V77/#REF!*(W77+Z77/8*2+AA77/8*1.5+AB77*3)+J77/#REF!*(X77+Y77)+AC77+P77+AE77+AG77+AH77+AI77+AJ77</f>
        <v>#REF!</v>
      </c>
      <c r="AL77" s="267">
        <f t="shared" si="2"/>
        <v>535.5</v>
      </c>
      <c r="AM77" s="414">
        <v>5100</v>
      </c>
      <c r="AN77" s="272" t="e">
        <f>VLOOKUP(B77,#REF!,75,0)</f>
        <v>#REF!</v>
      </c>
      <c r="AO77" s="272"/>
      <c r="AP77" s="273" t="e">
        <f t="shared" ref="AP77:AP83" si="88">ROUND(AK77-AL77-AN77+AO77,-1)</f>
        <v>#REF!</v>
      </c>
    </row>
    <row r="78" spans="1:42" s="459" customFormat="1">
      <c r="A78" s="262"/>
      <c r="B78" s="391" t="s">
        <v>567</v>
      </c>
      <c r="C78" s="292" t="s">
        <v>268</v>
      </c>
      <c r="D78" s="280" t="s">
        <v>269</v>
      </c>
      <c r="E78" s="493">
        <v>42095</v>
      </c>
      <c r="F78" s="265">
        <v>3</v>
      </c>
      <c r="G78" s="266">
        <f t="shared" si="85"/>
        <v>3</v>
      </c>
      <c r="H78" s="266">
        <f t="shared" si="86"/>
        <v>4</v>
      </c>
      <c r="I78" s="267">
        <f t="shared" si="87"/>
        <v>24</v>
      </c>
      <c r="J78" s="267">
        <f>VLOOKUP(D78,'THANG B.LUONG'!$B$5:$I$513,F78+1,0)</f>
        <v>0</v>
      </c>
      <c r="K78" s="267">
        <v>200</v>
      </c>
      <c r="L78" s="267">
        <v>0</v>
      </c>
      <c r="M78" s="267">
        <f t="shared" si="3"/>
        <v>0</v>
      </c>
      <c r="N78" s="267">
        <v>0</v>
      </c>
      <c r="O78" s="267">
        <v>0</v>
      </c>
      <c r="P78" s="267">
        <v>0</v>
      </c>
      <c r="Q78" s="267">
        <v>0</v>
      </c>
      <c r="R78" s="267">
        <v>0</v>
      </c>
      <c r="S78" s="267">
        <v>0</v>
      </c>
      <c r="T78" s="267">
        <v>0</v>
      </c>
      <c r="U78" s="267">
        <v>0</v>
      </c>
      <c r="V78" s="268">
        <f t="shared" si="1"/>
        <v>200</v>
      </c>
      <c r="W78" s="269" t="e">
        <f>VLOOKUP(B78,#REF!,35,0)</f>
        <v>#REF!</v>
      </c>
      <c r="X78" s="267" t="e">
        <f>VLOOKUP(B78,#REF!,37,0)</f>
        <v>#REF!</v>
      </c>
      <c r="Y78" s="270" t="e">
        <f>VLOOKUP(B78,#REF!,38,0)</f>
        <v>#REF!</v>
      </c>
      <c r="Z78" s="267" t="e">
        <f>VLOOKUP(B78,#REF!,72,0)</f>
        <v>#REF!</v>
      </c>
      <c r="AA78" s="267" t="e">
        <f>VLOOKUP(B78,#REF!,71,0)</f>
        <v>#REF!</v>
      </c>
      <c r="AB78" s="267" t="e">
        <f>VLOOKUP(B78,#REF!,36,0)</f>
        <v>#REF!</v>
      </c>
      <c r="AC78" s="267"/>
      <c r="AD78" s="271"/>
      <c r="AE78" s="271"/>
      <c r="AF78" s="271"/>
      <c r="AG78" s="271"/>
      <c r="AH78" s="271"/>
      <c r="AI78" s="271"/>
      <c r="AJ78" s="271">
        <v>1000</v>
      </c>
      <c r="AK78" s="268" t="e">
        <f>V78/#REF!*(W78+Z78/8*2+AA78/8*1.5+AB78*3)+J78/#REF!*(X78+Y78)+AC78+P78+AE78+AG78+AH78+AI78+AJ78</f>
        <v>#REF!</v>
      </c>
      <c r="AL78" s="267">
        <f t="shared" si="2"/>
        <v>504</v>
      </c>
      <c r="AM78" s="414">
        <v>4800</v>
      </c>
      <c r="AN78" s="272" t="e">
        <f>VLOOKUP(B78,#REF!,75,0)</f>
        <v>#REF!</v>
      </c>
      <c r="AO78" s="272"/>
      <c r="AP78" s="273" t="e">
        <f t="shared" si="88"/>
        <v>#REF!</v>
      </c>
    </row>
    <row r="79" spans="1:42" s="459" customFormat="1">
      <c r="A79" s="262"/>
      <c r="B79" s="391" t="s">
        <v>570</v>
      </c>
      <c r="C79" s="292" t="s">
        <v>309</v>
      </c>
      <c r="D79" s="280" t="s">
        <v>269</v>
      </c>
      <c r="E79" s="493">
        <v>42810</v>
      </c>
      <c r="F79" s="265">
        <v>3</v>
      </c>
      <c r="G79" s="266">
        <f t="shared" si="85"/>
        <v>1</v>
      </c>
      <c r="H79" s="266">
        <f t="shared" si="86"/>
        <v>5</v>
      </c>
      <c r="I79" s="267">
        <f t="shared" si="87"/>
        <v>9</v>
      </c>
      <c r="J79" s="267">
        <f>VLOOKUP(D79,'THANG B.LUONG'!$B$5:$I$513,F79+1,0)</f>
        <v>0</v>
      </c>
      <c r="K79" s="267">
        <v>200</v>
      </c>
      <c r="L79" s="267">
        <v>0</v>
      </c>
      <c r="M79" s="267">
        <f t="shared" si="3"/>
        <v>0</v>
      </c>
      <c r="N79" s="267">
        <v>0</v>
      </c>
      <c r="O79" s="267">
        <v>0</v>
      </c>
      <c r="P79" s="267">
        <v>0</v>
      </c>
      <c r="Q79" s="267">
        <v>0</v>
      </c>
      <c r="R79" s="267">
        <v>0</v>
      </c>
      <c r="S79" s="267">
        <v>0</v>
      </c>
      <c r="T79" s="267">
        <v>0</v>
      </c>
      <c r="U79" s="267">
        <v>0</v>
      </c>
      <c r="V79" s="268">
        <f t="shared" si="1"/>
        <v>200</v>
      </c>
      <c r="W79" s="269" t="e">
        <f>VLOOKUP(B79,#REF!,35,0)</f>
        <v>#REF!</v>
      </c>
      <c r="X79" s="267" t="e">
        <f>VLOOKUP(B79,#REF!,37,0)</f>
        <v>#REF!</v>
      </c>
      <c r="Y79" s="270" t="e">
        <f>VLOOKUP(B79,#REF!,38,0)</f>
        <v>#REF!</v>
      </c>
      <c r="Z79" s="267" t="e">
        <f>VLOOKUP(B79,#REF!,72,0)</f>
        <v>#REF!</v>
      </c>
      <c r="AA79" s="267" t="e">
        <f>VLOOKUP(B79,#REF!,71,0)</f>
        <v>#REF!</v>
      </c>
      <c r="AB79" s="267" t="e">
        <f>VLOOKUP(B79,#REF!,36,0)</f>
        <v>#REF!</v>
      </c>
      <c r="AC79" s="267"/>
      <c r="AD79" s="271"/>
      <c r="AE79" s="271"/>
      <c r="AF79" s="271"/>
      <c r="AG79" s="271"/>
      <c r="AH79" s="405"/>
      <c r="AI79" s="271"/>
      <c r="AJ79" s="271"/>
      <c r="AK79" s="268" t="e">
        <f>V79/#REF!*(W79+Z79/8*2+AA79/8*1.5+AB79*3)+J79/#REF!*(X79+Y79)+AC79+P79+AE79+AG79+AH79+AI79+AJ79</f>
        <v>#REF!</v>
      </c>
      <c r="AL79" s="267">
        <f t="shared" si="2"/>
        <v>504</v>
      </c>
      <c r="AM79" s="414">
        <v>4800</v>
      </c>
      <c r="AN79" s="272" t="e">
        <f>VLOOKUP(B79,#REF!,75,0)</f>
        <v>#REF!</v>
      </c>
      <c r="AO79" s="272"/>
      <c r="AP79" s="273" t="e">
        <f t="shared" si="88"/>
        <v>#REF!</v>
      </c>
    </row>
    <row r="80" spans="1:42" s="459" customFormat="1">
      <c r="A80" s="262"/>
      <c r="B80" s="391" t="s">
        <v>571</v>
      </c>
      <c r="C80" s="292" t="s">
        <v>310</v>
      </c>
      <c r="D80" s="280" t="s">
        <v>269</v>
      </c>
      <c r="E80" s="493">
        <v>42844</v>
      </c>
      <c r="F80" s="265">
        <v>3</v>
      </c>
      <c r="G80" s="266">
        <f t="shared" si="85"/>
        <v>1</v>
      </c>
      <c r="H80" s="266">
        <f t="shared" si="86"/>
        <v>4</v>
      </c>
      <c r="I80" s="267">
        <f t="shared" si="87"/>
        <v>6</v>
      </c>
      <c r="J80" s="267">
        <f>VLOOKUP(D80,'THANG B.LUONG'!$B$5:$I$513,F80+1,0)</f>
        <v>0</v>
      </c>
      <c r="K80" s="267">
        <v>200</v>
      </c>
      <c r="L80" s="267">
        <v>0</v>
      </c>
      <c r="M80" s="267">
        <f t="shared" si="3"/>
        <v>0</v>
      </c>
      <c r="N80" s="267">
        <v>0</v>
      </c>
      <c r="O80" s="267">
        <v>0</v>
      </c>
      <c r="P80" s="267">
        <v>0</v>
      </c>
      <c r="Q80" s="267">
        <v>0</v>
      </c>
      <c r="R80" s="267">
        <v>0</v>
      </c>
      <c r="S80" s="267">
        <v>0</v>
      </c>
      <c r="T80" s="267">
        <v>0</v>
      </c>
      <c r="U80" s="267">
        <v>0</v>
      </c>
      <c r="V80" s="268">
        <f t="shared" si="1"/>
        <v>200</v>
      </c>
      <c r="W80" s="269" t="e">
        <f>VLOOKUP(B80,#REF!,35,0)</f>
        <v>#REF!</v>
      </c>
      <c r="X80" s="267" t="e">
        <f>VLOOKUP(B80,#REF!,37,0)</f>
        <v>#REF!</v>
      </c>
      <c r="Y80" s="270" t="e">
        <f>VLOOKUP(B80,#REF!,38,0)</f>
        <v>#REF!</v>
      </c>
      <c r="Z80" s="267" t="e">
        <f>VLOOKUP(B80,#REF!,72,0)</f>
        <v>#REF!</v>
      </c>
      <c r="AA80" s="267" t="e">
        <f>VLOOKUP(B80,#REF!,71,0)</f>
        <v>#REF!</v>
      </c>
      <c r="AB80" s="267" t="e">
        <f>VLOOKUP(B80,#REF!,36,0)</f>
        <v>#REF!</v>
      </c>
      <c r="AC80" s="267"/>
      <c r="AD80" s="271"/>
      <c r="AE80" s="271"/>
      <c r="AF80" s="271"/>
      <c r="AG80" s="271"/>
      <c r="AH80" s="271"/>
      <c r="AI80" s="271"/>
      <c r="AJ80" s="271"/>
      <c r="AK80" s="268" t="e">
        <f>V80/#REF!*(W80+Z80/8*2+AA80/8*1.5+AB80*3)+J80/#REF!*(X80+Y80)+AC80+P80+AE80+AG80+AH80+AI80+AJ80</f>
        <v>#REF!</v>
      </c>
      <c r="AL80" s="267">
        <f t="shared" si="2"/>
        <v>504</v>
      </c>
      <c r="AM80" s="504">
        <v>4800</v>
      </c>
      <c r="AN80" s="272" t="e">
        <f>VLOOKUP(B80,#REF!,75,0)</f>
        <v>#REF!</v>
      </c>
      <c r="AO80" s="272"/>
      <c r="AP80" s="273" t="e">
        <f t="shared" si="88"/>
        <v>#REF!</v>
      </c>
    </row>
    <row r="81" spans="1:42" s="460" customFormat="1">
      <c r="A81" s="262"/>
      <c r="B81" s="391" t="s">
        <v>572</v>
      </c>
      <c r="C81" s="391" t="s">
        <v>385</v>
      </c>
      <c r="D81" s="280" t="s">
        <v>269</v>
      </c>
      <c r="E81" s="493">
        <v>43083</v>
      </c>
      <c r="F81" s="265">
        <v>2</v>
      </c>
      <c r="G81" s="266">
        <f t="shared" si="85"/>
        <v>0</v>
      </c>
      <c r="H81" s="266">
        <f t="shared" si="86"/>
        <v>8</v>
      </c>
      <c r="I81" s="267">
        <f t="shared" si="87"/>
        <v>11</v>
      </c>
      <c r="J81" s="267">
        <f>VLOOKUP(D81,'THANG B.LUONG'!$B$5:$I$513,F81+1,0)</f>
        <v>0</v>
      </c>
      <c r="K81" s="267">
        <v>200</v>
      </c>
      <c r="L81" s="267">
        <v>0</v>
      </c>
      <c r="M81" s="267">
        <f t="shared" si="3"/>
        <v>0</v>
      </c>
      <c r="N81" s="267">
        <v>0</v>
      </c>
      <c r="O81" s="267">
        <v>0</v>
      </c>
      <c r="P81" s="267">
        <v>0</v>
      </c>
      <c r="Q81" s="267">
        <v>0</v>
      </c>
      <c r="R81" s="267">
        <v>0</v>
      </c>
      <c r="S81" s="267">
        <v>0</v>
      </c>
      <c r="T81" s="267">
        <v>0</v>
      </c>
      <c r="U81" s="267">
        <v>0</v>
      </c>
      <c r="V81" s="268">
        <f>SUM(J81:U81)-P81</f>
        <v>200</v>
      </c>
      <c r="W81" s="269" t="e">
        <f>VLOOKUP(B81,#REF!,35,0)</f>
        <v>#REF!</v>
      </c>
      <c r="X81" s="267" t="e">
        <f>VLOOKUP(B81,#REF!,37,0)</f>
        <v>#REF!</v>
      </c>
      <c r="Y81" s="270" t="e">
        <f>VLOOKUP(B81,#REF!,38,0)</f>
        <v>#REF!</v>
      </c>
      <c r="Z81" s="267" t="e">
        <f>VLOOKUP(B81,#REF!,72,0)</f>
        <v>#REF!</v>
      </c>
      <c r="AA81" s="267" t="e">
        <f>VLOOKUP(B81,#REF!,71,0)</f>
        <v>#REF!</v>
      </c>
      <c r="AB81" s="267" t="e">
        <f>VLOOKUP(B81,#REF!,36,0)</f>
        <v>#REF!</v>
      </c>
      <c r="AC81" s="271"/>
      <c r="AD81" s="271"/>
      <c r="AE81" s="271"/>
      <c r="AF81" s="271"/>
      <c r="AG81" s="271"/>
      <c r="AH81" s="405"/>
      <c r="AI81" s="271"/>
      <c r="AJ81" s="271"/>
      <c r="AK81" s="268" t="e">
        <f>V81/#REF!*(W81+Z81/8*2+AA81/8*1.5+AB81*3)+J81/#REF!*(X81+Y81)+AC81+P81+AE81+AG81+AH81+AI81+AJ81</f>
        <v>#REF!</v>
      </c>
      <c r="AL81" s="267">
        <f t="shared" si="2"/>
        <v>0</v>
      </c>
      <c r="AM81" s="271">
        <v>0</v>
      </c>
      <c r="AN81" s="272" t="e">
        <f>VLOOKUP(B81,#REF!,75,0)</f>
        <v>#REF!</v>
      </c>
      <c r="AO81" s="272"/>
      <c r="AP81" s="273" t="e">
        <f t="shared" si="88"/>
        <v>#REF!</v>
      </c>
    </row>
    <row r="82" spans="1:42" s="522" customFormat="1">
      <c r="A82" s="509"/>
      <c r="B82" s="511" t="s">
        <v>589</v>
      </c>
      <c r="C82" s="511" t="s">
        <v>777</v>
      </c>
      <c r="D82" s="510" t="s">
        <v>269</v>
      </c>
      <c r="E82" s="512">
        <v>43298</v>
      </c>
      <c r="F82" s="513">
        <v>1</v>
      </c>
      <c r="G82" s="514">
        <f t="shared" si="85"/>
        <v>0</v>
      </c>
      <c r="H82" s="514">
        <f t="shared" si="86"/>
        <v>1</v>
      </c>
      <c r="I82" s="515">
        <f t="shared" si="87"/>
        <v>8</v>
      </c>
      <c r="J82" s="515">
        <f>VLOOKUP(D82,'THANG B.LUONG'!$B$5:$I$513,F82+1,0)</f>
        <v>0</v>
      </c>
      <c r="K82" s="515">
        <v>0</v>
      </c>
      <c r="L82" s="515">
        <v>0</v>
      </c>
      <c r="M82" s="515">
        <f t="shared" si="3"/>
        <v>0</v>
      </c>
      <c r="N82" s="515">
        <v>0</v>
      </c>
      <c r="O82" s="515">
        <v>0</v>
      </c>
      <c r="P82" s="515">
        <v>0</v>
      </c>
      <c r="Q82" s="515">
        <v>0</v>
      </c>
      <c r="R82" s="515">
        <v>0</v>
      </c>
      <c r="S82" s="515">
        <v>0</v>
      </c>
      <c r="T82" s="515">
        <v>0</v>
      </c>
      <c r="U82" s="515">
        <v>0</v>
      </c>
      <c r="V82" s="516">
        <f>SUM(J82:U82)-P82</f>
        <v>0</v>
      </c>
      <c r="W82" s="517" t="e">
        <f>VLOOKUP(B82,#REF!,35,0)</f>
        <v>#REF!</v>
      </c>
      <c r="X82" s="515" t="e">
        <f>VLOOKUP(B82,#REF!,37,0)</f>
        <v>#REF!</v>
      </c>
      <c r="Y82" s="518" t="e">
        <f>VLOOKUP(B82,#REF!,38,0)</f>
        <v>#REF!</v>
      </c>
      <c r="Z82" s="515" t="e">
        <f>VLOOKUP(B82,#REF!,72,0)</f>
        <v>#REF!</v>
      </c>
      <c r="AA82" s="515" t="e">
        <f>VLOOKUP(B82,#REF!,71,0)</f>
        <v>#REF!</v>
      </c>
      <c r="AB82" s="515" t="e">
        <f>VLOOKUP(B82,#REF!,36,0)</f>
        <v>#REF!</v>
      </c>
      <c r="AC82" s="519"/>
      <c r="AD82" s="519"/>
      <c r="AE82" s="519"/>
      <c r="AF82" s="519"/>
      <c r="AG82" s="519"/>
      <c r="AH82" s="519"/>
      <c r="AI82" s="519"/>
      <c r="AJ82" s="519"/>
      <c r="AK82" s="516" t="e">
        <f>V82/#REF!*(W82+Z82/8*2+AA82/8*1.5+AB82*3)+J82/#REF!*(X82+Y82)+AC82+P82+AE82+AG82+AH82+AI82+AJ82</f>
        <v>#REF!</v>
      </c>
      <c r="AL82" s="515">
        <f>AM82*$AN$3</f>
        <v>0</v>
      </c>
      <c r="AM82" s="519">
        <v>0</v>
      </c>
      <c r="AN82" s="520" t="e">
        <f>VLOOKUP(B82,#REF!,75,0)</f>
        <v>#REF!</v>
      </c>
      <c r="AO82" s="520"/>
      <c r="AP82" s="521" t="e">
        <f t="shared" si="88"/>
        <v>#REF!</v>
      </c>
    </row>
    <row r="83" spans="1:42" s="460" customFormat="1">
      <c r="A83" s="262"/>
      <c r="B83" s="391" t="s">
        <v>590</v>
      </c>
      <c r="C83" s="391" t="s">
        <v>591</v>
      </c>
      <c r="D83" s="280" t="s">
        <v>269</v>
      </c>
      <c r="E83" s="493">
        <v>43115</v>
      </c>
      <c r="F83" s="466">
        <v>3</v>
      </c>
      <c r="G83" s="266">
        <f t="shared" si="85"/>
        <v>0</v>
      </c>
      <c r="H83" s="266">
        <f t="shared" si="86"/>
        <v>7</v>
      </c>
      <c r="I83" s="267">
        <f t="shared" si="87"/>
        <v>10</v>
      </c>
      <c r="J83" s="267">
        <f>VLOOKUP(D83,'THANG B.LUONG'!$B$5:$I$513,F83+1,0)</f>
        <v>0</v>
      </c>
      <c r="K83" s="267">
        <v>200</v>
      </c>
      <c r="L83" s="267">
        <v>0</v>
      </c>
      <c r="M83" s="267">
        <f t="shared" si="3"/>
        <v>0</v>
      </c>
      <c r="N83" s="267">
        <v>0</v>
      </c>
      <c r="O83" s="267">
        <v>0</v>
      </c>
      <c r="P83" s="267">
        <v>0</v>
      </c>
      <c r="Q83" s="267">
        <v>0</v>
      </c>
      <c r="R83" s="267">
        <v>0</v>
      </c>
      <c r="S83" s="267">
        <v>0</v>
      </c>
      <c r="T83" s="267">
        <v>0</v>
      </c>
      <c r="U83" s="267">
        <v>0</v>
      </c>
      <c r="V83" s="268">
        <f>SUM(J83:U83)-P83</f>
        <v>200</v>
      </c>
      <c r="W83" s="269" t="e">
        <f>VLOOKUP(B83,#REF!,35,0)</f>
        <v>#REF!</v>
      </c>
      <c r="X83" s="267" t="e">
        <f>VLOOKUP(B83,#REF!,37,0)</f>
        <v>#REF!</v>
      </c>
      <c r="Y83" s="270" t="e">
        <f>VLOOKUP(B83,#REF!,38,0)</f>
        <v>#REF!</v>
      </c>
      <c r="Z83" s="267" t="e">
        <f>VLOOKUP(B83,#REF!,72,0)</f>
        <v>#REF!</v>
      </c>
      <c r="AA83" s="267" t="e">
        <f>VLOOKUP(B83,#REF!,71,0)</f>
        <v>#REF!</v>
      </c>
      <c r="AB83" s="267" t="e">
        <f>VLOOKUP(B83,#REF!,36,0)</f>
        <v>#REF!</v>
      </c>
      <c r="AC83" s="271"/>
      <c r="AD83" s="271"/>
      <c r="AE83" s="271"/>
      <c r="AF83" s="271"/>
      <c r="AG83" s="271"/>
      <c r="AH83" s="271"/>
      <c r="AI83" s="271"/>
      <c r="AJ83" s="271"/>
      <c r="AK83" s="268" t="e">
        <f>V83/#REF!*(W83+Z83/8*2+AA83/8*1.5+AB83*3)+J83/#REF!*(X83+Y83)+AC83+P83+AE83+AG83+AH83+AI83+AJ83</f>
        <v>#REF!</v>
      </c>
      <c r="AL83" s="267">
        <f>AM83*$AN$3</f>
        <v>0</v>
      </c>
      <c r="AM83" s="271">
        <v>0</v>
      </c>
      <c r="AN83" s="272" t="e">
        <f>VLOOKUP(B83,#REF!,75,0)</f>
        <v>#REF!</v>
      </c>
      <c r="AO83" s="272"/>
      <c r="AP83" s="273" t="e">
        <f t="shared" si="88"/>
        <v>#REF!</v>
      </c>
    </row>
    <row r="84" spans="1:42" s="460" customFormat="1">
      <c r="A84" s="262"/>
      <c r="B84" s="391" t="s">
        <v>742</v>
      </c>
      <c r="C84" s="391" t="s">
        <v>743</v>
      </c>
      <c r="D84" s="280" t="str">
        <f>'THANG B.LUONG'!B44</f>
        <v>Admin Kho/ Kế toán kho</v>
      </c>
      <c r="E84" s="493">
        <v>43241</v>
      </c>
      <c r="F84" s="466">
        <v>2</v>
      </c>
      <c r="G84" s="266">
        <f t="shared" ref="G84" si="89">DATEDIF(E84,$J$3,"y")</f>
        <v>0</v>
      </c>
      <c r="H84" s="266">
        <f t="shared" ref="H84" si="90">DATEDIF(E84,$J$3,"ym")</f>
        <v>3</v>
      </c>
      <c r="I84" s="267">
        <f t="shared" ref="I84" si="91">DATEDIF(E84,$J$3,"md")</f>
        <v>4</v>
      </c>
      <c r="J84" s="267">
        <f>VLOOKUP(D84,'THANG B.LUONG'!$B$5:$I$513,F84+1,0)</f>
        <v>0</v>
      </c>
      <c r="K84" s="267">
        <v>0</v>
      </c>
      <c r="L84" s="267">
        <v>200</v>
      </c>
      <c r="M84" s="267">
        <f>IF(G84&gt;=3,J84*(0.03+(G84-3)*0.01),0)</f>
        <v>0</v>
      </c>
      <c r="N84" s="267">
        <v>0</v>
      </c>
      <c r="O84" s="267">
        <v>0</v>
      </c>
      <c r="P84" s="267">
        <v>0</v>
      </c>
      <c r="Q84" s="267">
        <v>0</v>
      </c>
      <c r="R84" s="267">
        <v>0</v>
      </c>
      <c r="S84" s="267">
        <v>0</v>
      </c>
      <c r="T84" s="267">
        <v>0</v>
      </c>
      <c r="U84" s="267">
        <v>0</v>
      </c>
      <c r="V84" s="268">
        <f>(SUM(J84:U84)-P84)</f>
        <v>200</v>
      </c>
      <c r="W84" s="269" t="e">
        <f>VLOOKUP(B84,#REF!,35,0)</f>
        <v>#REF!</v>
      </c>
      <c r="X84" s="267" t="e">
        <f>VLOOKUP(B84,#REF!,37,0)</f>
        <v>#REF!</v>
      </c>
      <c r="Y84" s="270" t="e">
        <f>VLOOKUP(B84,#REF!,38,0)</f>
        <v>#REF!</v>
      </c>
      <c r="Z84" s="267" t="e">
        <f>VLOOKUP(B84,#REF!,72,0)</f>
        <v>#REF!</v>
      </c>
      <c r="AA84" s="267" t="e">
        <f>VLOOKUP(B84,#REF!,71,0)</f>
        <v>#REF!</v>
      </c>
      <c r="AB84" s="267" t="e">
        <f>VLOOKUP(B84,#REF!,36,0)</f>
        <v>#REF!</v>
      </c>
      <c r="AC84" s="271"/>
      <c r="AD84" s="271"/>
      <c r="AE84" s="271"/>
      <c r="AF84" s="271"/>
      <c r="AG84" s="271"/>
      <c r="AH84" s="271"/>
      <c r="AI84" s="271"/>
      <c r="AJ84" s="271"/>
      <c r="AK84" s="268" t="e">
        <f>V84/#REF!*(W84+Z84/8*2+AA84/8*1.5+AB84*3)+J84/#REF!*(X84+Y84)+AC84+P84+AE84+AG84+AH84+AI84+AJ84</f>
        <v>#REF!</v>
      </c>
      <c r="AL84" s="267">
        <f>AM84*$AN$3</f>
        <v>0</v>
      </c>
      <c r="AM84" s="271">
        <v>0</v>
      </c>
      <c r="AN84" s="272">
        <v>0</v>
      </c>
      <c r="AO84" s="272"/>
      <c r="AP84" s="273" t="e">
        <f>ROUND(AK84-AL84-AN84+AO84,-1)</f>
        <v>#REF!</v>
      </c>
    </row>
    <row r="85" spans="1:42" s="459" customFormat="1">
      <c r="A85" s="276"/>
      <c r="B85" s="470"/>
      <c r="C85" s="277" t="s">
        <v>275</v>
      </c>
      <c r="D85" s="277"/>
      <c r="E85" s="494"/>
      <c r="F85" s="235"/>
      <c r="G85" s="235"/>
      <c r="H85" s="235"/>
      <c r="I85" s="235"/>
      <c r="J85" s="235"/>
      <c r="K85" s="235"/>
      <c r="L85" s="235"/>
      <c r="M85" s="235"/>
      <c r="N85" s="235"/>
      <c r="O85" s="235"/>
      <c r="P85" s="235"/>
      <c r="Q85" s="235"/>
      <c r="R85" s="235"/>
      <c r="S85" s="235"/>
      <c r="T85" s="235"/>
      <c r="U85" s="235"/>
      <c r="V85" s="235"/>
      <c r="W85" s="235"/>
      <c r="X85" s="235"/>
      <c r="Y85" s="235"/>
      <c r="Z85" s="235"/>
      <c r="AA85" s="235"/>
      <c r="AB85" s="235"/>
      <c r="AC85" s="235"/>
      <c r="AD85" s="235"/>
      <c r="AE85" s="235"/>
      <c r="AF85" s="235"/>
      <c r="AG85" s="235"/>
      <c r="AH85" s="235"/>
      <c r="AI85" s="235"/>
      <c r="AJ85" s="235"/>
      <c r="AK85" s="261" t="e">
        <f>SUM(AK86:AK88)</f>
        <v>#REF!</v>
      </c>
      <c r="AL85" s="261">
        <f t="shared" ref="AL85:AP85" si="92">SUM(AL86:AL88)</f>
        <v>1543.5</v>
      </c>
      <c r="AM85" s="261">
        <f t="shared" si="92"/>
        <v>14700</v>
      </c>
      <c r="AN85" s="261" t="e">
        <f t="shared" si="92"/>
        <v>#REF!</v>
      </c>
      <c r="AO85" s="261">
        <f t="shared" si="92"/>
        <v>0</v>
      </c>
      <c r="AP85" s="261" t="e">
        <f t="shared" si="92"/>
        <v>#REF!</v>
      </c>
    </row>
    <row r="86" spans="1:42" s="459" customFormat="1" ht="14" customHeight="1">
      <c r="A86" s="262"/>
      <c r="B86" s="391" t="s">
        <v>573</v>
      </c>
      <c r="C86" s="292" t="s">
        <v>276</v>
      </c>
      <c r="D86" s="280" t="s">
        <v>277</v>
      </c>
      <c r="E86" s="493">
        <v>40868</v>
      </c>
      <c r="F86" s="265">
        <v>2</v>
      </c>
      <c r="G86" s="266">
        <f>DATEDIF(E86,$J$3,"y")</f>
        <v>6</v>
      </c>
      <c r="H86" s="266">
        <f>DATEDIF(E86,$J$3,"ym")</f>
        <v>9</v>
      </c>
      <c r="I86" s="267">
        <f>DATEDIF(E86,$J$3,"md")</f>
        <v>4</v>
      </c>
      <c r="J86" s="267">
        <f>VLOOKUP(D86,'THANG B.LUONG'!$B$5:$I$513,F86+1,0)</f>
        <v>0</v>
      </c>
      <c r="K86" s="267">
        <v>0</v>
      </c>
      <c r="L86" s="267">
        <v>0</v>
      </c>
      <c r="M86" s="267">
        <f t="shared" si="3"/>
        <v>0</v>
      </c>
      <c r="N86" s="267">
        <v>0</v>
      </c>
      <c r="O86" s="267">
        <v>0</v>
      </c>
      <c r="P86" s="267">
        <v>0</v>
      </c>
      <c r="Q86" s="267">
        <v>0</v>
      </c>
      <c r="R86" s="267">
        <f>30%*'THANG B.LUONG'!D28</f>
        <v>0</v>
      </c>
      <c r="S86" s="267">
        <v>0</v>
      </c>
      <c r="T86" s="267">
        <v>0</v>
      </c>
      <c r="U86" s="267">
        <v>7000</v>
      </c>
      <c r="V86" s="268">
        <f t="shared" si="1"/>
        <v>7000</v>
      </c>
      <c r="W86" s="269" t="e">
        <f>VLOOKUP(B86,#REF!,35,0)</f>
        <v>#REF!</v>
      </c>
      <c r="X86" s="267" t="e">
        <f>VLOOKUP(B86,#REF!,37,0)</f>
        <v>#REF!</v>
      </c>
      <c r="Y86" s="270" t="e">
        <f>VLOOKUP(B86,#REF!,38,0)</f>
        <v>#REF!</v>
      </c>
      <c r="Z86" s="267" t="e">
        <f>VLOOKUP(B86,#REF!,72,0)</f>
        <v>#REF!</v>
      </c>
      <c r="AA86" s="267" t="e">
        <f>VLOOKUP(B86,#REF!,71,0)</f>
        <v>#REF!</v>
      </c>
      <c r="AB86" s="267" t="e">
        <f>VLOOKUP(B86,#REF!,36,0)</f>
        <v>#REF!</v>
      </c>
      <c r="AC86" s="267"/>
      <c r="AD86" s="271"/>
      <c r="AE86" s="271"/>
      <c r="AF86" s="271"/>
      <c r="AG86" s="271"/>
      <c r="AH86" s="271"/>
      <c r="AI86" s="271"/>
      <c r="AJ86" s="271"/>
      <c r="AK86" s="268" t="e">
        <f>V86/#REF!*(W86+Z86/8*2+AA86/8*1.5+AB86*3)+J86/#REF!*(X86+Y86)+AC86+P86+AE86+AG86+AH86+AI86+AJ86</f>
        <v>#REF!</v>
      </c>
      <c r="AL86" s="267">
        <f t="shared" si="2"/>
        <v>535.5</v>
      </c>
      <c r="AM86" s="414">
        <v>5100</v>
      </c>
      <c r="AN86" s="272" t="e">
        <f>VLOOKUP(B86,#REF!,75,0)</f>
        <v>#REF!</v>
      </c>
      <c r="AO86" s="272"/>
      <c r="AP86" s="273" t="e">
        <f>ROUND(AK86-AL86-AN86+AO86,-1)</f>
        <v>#REF!</v>
      </c>
    </row>
    <row r="87" spans="1:42" s="459" customFormat="1" ht="13.5" customHeight="1">
      <c r="A87" s="325"/>
      <c r="B87" s="471" t="s">
        <v>574</v>
      </c>
      <c r="C87" s="315" t="s">
        <v>278</v>
      </c>
      <c r="D87" s="326" t="s">
        <v>279</v>
      </c>
      <c r="E87" s="495">
        <v>42064</v>
      </c>
      <c r="F87" s="327">
        <v>4</v>
      </c>
      <c r="G87" s="326">
        <f>DATEDIF(E87,$J$3,"y")</f>
        <v>3</v>
      </c>
      <c r="H87" s="326">
        <f>DATEDIF(E87,$J$3,"ym")</f>
        <v>5</v>
      </c>
      <c r="I87" s="321">
        <f>DATEDIF(E87,$J$3,"md")</f>
        <v>24</v>
      </c>
      <c r="J87" s="321">
        <f>VLOOKUP(D87,'THANG B.LUONG'!$B$5:$I$513,F87+1,0)</f>
        <v>0</v>
      </c>
      <c r="K87" s="321">
        <v>0</v>
      </c>
      <c r="L87" s="321">
        <v>0</v>
      </c>
      <c r="M87" s="321">
        <f t="shared" si="3"/>
        <v>0</v>
      </c>
      <c r="N87" s="321">
        <v>0</v>
      </c>
      <c r="O87" s="321">
        <v>0</v>
      </c>
      <c r="P87" s="321">
        <v>0</v>
      </c>
      <c r="Q87" s="321">
        <v>0</v>
      </c>
      <c r="R87" s="321">
        <v>0</v>
      </c>
      <c r="S87" s="321">
        <v>0</v>
      </c>
      <c r="T87" s="321">
        <v>0</v>
      </c>
      <c r="U87" s="321">
        <v>3000</v>
      </c>
      <c r="V87" s="328">
        <f t="shared" si="1"/>
        <v>3000</v>
      </c>
      <c r="W87" s="435" t="e">
        <f>VLOOKUP(B87,#REF!,35,0)</f>
        <v>#REF!</v>
      </c>
      <c r="X87" s="321" t="e">
        <f>VLOOKUP(B87,#REF!,37,0)</f>
        <v>#REF!</v>
      </c>
      <c r="Y87" s="321" t="e">
        <f>VLOOKUP(B87,#REF!,38,0)</f>
        <v>#REF!</v>
      </c>
      <c r="Z87" s="321" t="e">
        <f>VLOOKUP(B87,#REF!,72,0)</f>
        <v>#REF!</v>
      </c>
      <c r="AA87" s="321" t="e">
        <f>VLOOKUP(B87,#REF!,71,0)</f>
        <v>#REF!</v>
      </c>
      <c r="AB87" s="321" t="e">
        <f>VLOOKUP(B87,#REF!,36,0)</f>
        <v>#REF!</v>
      </c>
      <c r="AC87" s="321"/>
      <c r="AD87" s="321"/>
      <c r="AE87" s="321"/>
      <c r="AF87" s="321"/>
      <c r="AG87" s="321"/>
      <c r="AH87" s="321"/>
      <c r="AI87" s="321"/>
      <c r="AJ87" s="321"/>
      <c r="AK87" s="328" t="e">
        <f>V87/#REF!*(W87+Z87/8*2+AA87/8*1.5+AB87*3)+J87/#REF!*(X87+Y87)+AC87+P87+AE87+AG87+AH87+AI87+AJ87</f>
        <v>#REF!</v>
      </c>
      <c r="AL87" s="321">
        <f t="shared" si="2"/>
        <v>504</v>
      </c>
      <c r="AM87" s="321">
        <v>4800</v>
      </c>
      <c r="AN87" s="330" t="e">
        <f>VLOOKUP(B87,#REF!,75,0)</f>
        <v>#REF!</v>
      </c>
      <c r="AO87" s="330"/>
      <c r="AP87" s="331" t="e">
        <f>ROUND(AK87-AL87-AN87+AO87,-1)</f>
        <v>#REF!</v>
      </c>
    </row>
    <row r="88" spans="1:42" s="459" customFormat="1" ht="13.5" customHeight="1">
      <c r="A88" s="325"/>
      <c r="B88" s="471" t="s">
        <v>575</v>
      </c>
      <c r="C88" s="315" t="s">
        <v>280</v>
      </c>
      <c r="D88" s="326" t="s">
        <v>279</v>
      </c>
      <c r="E88" s="495">
        <v>42618</v>
      </c>
      <c r="F88" s="327">
        <v>4</v>
      </c>
      <c r="G88" s="326">
        <f>DATEDIF(E88,$J$3,"y")</f>
        <v>1</v>
      </c>
      <c r="H88" s="326">
        <f>DATEDIF(E88,$J$3,"ym")</f>
        <v>11</v>
      </c>
      <c r="I88" s="321">
        <f>DATEDIF(E88,$J$3,"md")</f>
        <v>20</v>
      </c>
      <c r="J88" s="321">
        <f>VLOOKUP(D88,'THANG B.LUONG'!$B$5:$I$513,F88+1,0)</f>
        <v>0</v>
      </c>
      <c r="K88" s="321">
        <v>0</v>
      </c>
      <c r="L88" s="321">
        <v>0</v>
      </c>
      <c r="M88" s="321">
        <f t="shared" si="3"/>
        <v>0</v>
      </c>
      <c r="N88" s="321">
        <v>0</v>
      </c>
      <c r="O88" s="321">
        <v>0</v>
      </c>
      <c r="P88" s="321">
        <v>0</v>
      </c>
      <c r="Q88" s="321">
        <v>0</v>
      </c>
      <c r="R88" s="321">
        <v>0</v>
      </c>
      <c r="S88" s="321">
        <v>0</v>
      </c>
      <c r="T88" s="321">
        <v>0</v>
      </c>
      <c r="U88" s="321">
        <v>2000</v>
      </c>
      <c r="V88" s="328">
        <f t="shared" si="1"/>
        <v>2000</v>
      </c>
      <c r="W88" s="435" t="e">
        <f>VLOOKUP(B88,#REF!,35,0)</f>
        <v>#REF!</v>
      </c>
      <c r="X88" s="321" t="e">
        <f>VLOOKUP(B88,#REF!,37,0)</f>
        <v>#REF!</v>
      </c>
      <c r="Y88" s="321" t="e">
        <f>VLOOKUP(B88,#REF!,38,0)</f>
        <v>#REF!</v>
      </c>
      <c r="Z88" s="321" t="e">
        <f>VLOOKUP(B88,#REF!,72,0)</f>
        <v>#REF!</v>
      </c>
      <c r="AA88" s="321" t="e">
        <f>VLOOKUP(B88,#REF!,71,0)</f>
        <v>#REF!</v>
      </c>
      <c r="AB88" s="321" t="e">
        <f>VLOOKUP(B88,#REF!,36,0)</f>
        <v>#REF!</v>
      </c>
      <c r="AC88" s="321"/>
      <c r="AD88" s="321"/>
      <c r="AE88" s="321"/>
      <c r="AF88" s="321"/>
      <c r="AG88" s="321"/>
      <c r="AH88" s="406"/>
      <c r="AI88" s="321"/>
      <c r="AJ88" s="321"/>
      <c r="AK88" s="328" t="e">
        <f>V88/#REF!*(W88+Z88/8*2+AA88/8*1.5+AB88*3)+J88/#REF!*(X88+Y88)+AC88+P88+AE88+AG88+AH88+AI88+AJ88</f>
        <v>#REF!</v>
      </c>
      <c r="AL88" s="321">
        <f>AM88*$AN$3</f>
        <v>504</v>
      </c>
      <c r="AM88" s="321">
        <v>4800</v>
      </c>
      <c r="AN88" s="330" t="e">
        <f>VLOOKUP(B88,#REF!,75,0)</f>
        <v>#REF!</v>
      </c>
      <c r="AO88" s="330"/>
      <c r="AP88" s="331" t="e">
        <f>ROUND(AK88-AL88-AN88+AO88,-1)</f>
        <v>#REF!</v>
      </c>
    </row>
    <row r="89" spans="1:42" s="459" customFormat="1">
      <c r="A89" s="276"/>
      <c r="B89" s="470"/>
      <c r="C89" s="277" t="s">
        <v>281</v>
      </c>
      <c r="D89" s="277"/>
      <c r="E89" s="494"/>
      <c r="F89" s="235"/>
      <c r="G89" s="235"/>
      <c r="H89" s="235"/>
      <c r="I89" s="235"/>
      <c r="J89" s="235"/>
      <c r="K89" s="235"/>
      <c r="L89" s="235"/>
      <c r="M89" s="235"/>
      <c r="N89" s="235"/>
      <c r="O89" s="235"/>
      <c r="P89" s="235"/>
      <c r="Q89" s="235"/>
      <c r="R89" s="235"/>
      <c r="S89" s="235"/>
      <c r="T89" s="235"/>
      <c r="U89" s="235"/>
      <c r="V89" s="235"/>
      <c r="W89" s="235"/>
      <c r="X89" s="235"/>
      <c r="Y89" s="235"/>
      <c r="Z89" s="235"/>
      <c r="AA89" s="235"/>
      <c r="AB89" s="235"/>
      <c r="AC89" s="235"/>
      <c r="AD89" s="235"/>
      <c r="AE89" s="235"/>
      <c r="AF89" s="235"/>
      <c r="AG89" s="235"/>
      <c r="AH89" s="235"/>
      <c r="AI89" s="235"/>
      <c r="AJ89" s="235"/>
      <c r="AK89" s="261" t="e">
        <f>SUM(AK90:AK105)</f>
        <v>#REF!</v>
      </c>
      <c r="AL89" s="261">
        <f t="shared" ref="AL89:AP89" si="93">SUM(AL90:AL105)</f>
        <v>5978.5950000000003</v>
      </c>
      <c r="AM89" s="261">
        <f t="shared" si="93"/>
        <v>56939</v>
      </c>
      <c r="AN89" s="261" t="e">
        <f t="shared" si="93"/>
        <v>#REF!</v>
      </c>
      <c r="AO89" s="261">
        <f t="shared" si="93"/>
        <v>0</v>
      </c>
      <c r="AP89" s="261" t="e">
        <f t="shared" si="93"/>
        <v>#REF!</v>
      </c>
    </row>
    <row r="90" spans="1:42" s="459" customFormat="1">
      <c r="A90" s="262"/>
      <c r="B90" s="391" t="s">
        <v>577</v>
      </c>
      <c r="C90" s="292" t="s">
        <v>282</v>
      </c>
      <c r="D90" s="280" t="s">
        <v>283</v>
      </c>
      <c r="E90" s="493">
        <v>41611</v>
      </c>
      <c r="F90" s="265">
        <v>4</v>
      </c>
      <c r="G90" s="266">
        <f t="shared" ref="G90:G100" si="94">DATEDIF(E90,$J$3,"y")</f>
        <v>4</v>
      </c>
      <c r="H90" s="266">
        <f t="shared" ref="H90:H100" si="95">DATEDIF(E90,$J$3,"ym")</f>
        <v>8</v>
      </c>
      <c r="I90" s="267">
        <f t="shared" ref="I90:I100" si="96">DATEDIF(E90,$J$3,"md")</f>
        <v>22</v>
      </c>
      <c r="J90" s="267">
        <f>VLOOKUP(D90,'THANG B.LUONG'!$B$5:$I$513,F90+1,0)</f>
        <v>0</v>
      </c>
      <c r="K90" s="267">
        <v>0</v>
      </c>
      <c r="L90" s="267">
        <v>500</v>
      </c>
      <c r="M90" s="267">
        <f t="shared" ref="M90:M103" si="97">IF(G90&gt;=3,J90*(0.03+(G90-3)*0.01),0)</f>
        <v>0</v>
      </c>
      <c r="N90" s="267">
        <v>0</v>
      </c>
      <c r="O90" s="267">
        <v>200</v>
      </c>
      <c r="P90" s="267">
        <v>300</v>
      </c>
      <c r="Q90" s="267">
        <v>0</v>
      </c>
      <c r="R90" s="267">
        <v>0</v>
      </c>
      <c r="S90" s="267">
        <v>0</v>
      </c>
      <c r="T90" s="267">
        <v>0</v>
      </c>
      <c r="U90" s="267">
        <v>0</v>
      </c>
      <c r="V90" s="268">
        <f t="shared" si="1"/>
        <v>700</v>
      </c>
      <c r="W90" s="269" t="e">
        <f>VLOOKUP(B90,#REF!,35,0)</f>
        <v>#REF!</v>
      </c>
      <c r="X90" s="267" t="e">
        <f>VLOOKUP(B90,#REF!,37,0)</f>
        <v>#REF!</v>
      </c>
      <c r="Y90" s="270" t="e">
        <f>VLOOKUP(B90,#REF!,38,0)</f>
        <v>#REF!</v>
      </c>
      <c r="Z90" s="267" t="e">
        <f>VLOOKUP(B90,#REF!,72,0)</f>
        <v>#REF!</v>
      </c>
      <c r="AA90" s="267" t="e">
        <f>VLOOKUP(B90,#REF!,71,0)</f>
        <v>#REF!</v>
      </c>
      <c r="AB90" s="267" t="e">
        <f>VLOOKUP(B90,#REF!,36,0)</f>
        <v>#REF!</v>
      </c>
      <c r="AC90" s="267"/>
      <c r="AD90" s="271"/>
      <c r="AE90" s="271"/>
      <c r="AF90" s="271"/>
      <c r="AG90" s="271"/>
      <c r="AH90" s="271"/>
      <c r="AI90" s="271"/>
      <c r="AJ90" s="271"/>
      <c r="AK90" s="268" t="e">
        <f>V90/#REF!*(W90+Z90/8*2+AA90/8*1.5+AB90*3)+J90/#REF!*(X90+Y90)+AC90+P90+AE90+AG90+AH90+AI90+AJ90</f>
        <v>#REF!</v>
      </c>
      <c r="AL90" s="267">
        <f t="shared" ref="AL90:AL96" si="98">AM90*$AN$3</f>
        <v>535.5</v>
      </c>
      <c r="AM90" s="414">
        <v>5100</v>
      </c>
      <c r="AN90" s="272" t="e">
        <f>VLOOKUP(B90,#REF!,75,0)</f>
        <v>#REF!</v>
      </c>
      <c r="AO90" s="272"/>
      <c r="AP90" s="273" t="e">
        <f t="shared" ref="AP90:AP100" si="99">ROUND(AK90-AL90-AN90+AO90,-1)</f>
        <v>#REF!</v>
      </c>
    </row>
    <row r="91" spans="1:42" s="459" customFormat="1" ht="13.5" customHeight="1">
      <c r="A91" s="262"/>
      <c r="B91" s="391" t="s">
        <v>578</v>
      </c>
      <c r="C91" s="292" t="s">
        <v>284</v>
      </c>
      <c r="D91" s="280" t="s">
        <v>285</v>
      </c>
      <c r="E91" s="493">
        <v>42201</v>
      </c>
      <c r="F91" s="265">
        <v>2</v>
      </c>
      <c r="G91" s="266">
        <f t="shared" si="94"/>
        <v>3</v>
      </c>
      <c r="H91" s="266">
        <f t="shared" si="95"/>
        <v>1</v>
      </c>
      <c r="I91" s="267">
        <f t="shared" si="96"/>
        <v>9</v>
      </c>
      <c r="J91" s="267">
        <f>VLOOKUP(D91,'THANG B.LUONG'!$B$5:$I$513,F91+1,0)</f>
        <v>0</v>
      </c>
      <c r="K91" s="267">
        <v>0</v>
      </c>
      <c r="L91" s="267">
        <v>200</v>
      </c>
      <c r="M91" s="267">
        <f t="shared" si="97"/>
        <v>0</v>
      </c>
      <c r="N91" s="267">
        <v>0</v>
      </c>
      <c r="O91" s="267">
        <v>100</v>
      </c>
      <c r="P91" s="267">
        <v>200</v>
      </c>
      <c r="Q91" s="267">
        <v>0</v>
      </c>
      <c r="R91" s="267">
        <v>0</v>
      </c>
      <c r="S91" s="267">
        <v>0</v>
      </c>
      <c r="T91" s="267">
        <v>0</v>
      </c>
      <c r="U91" s="267">
        <v>0</v>
      </c>
      <c r="V91" s="268">
        <f t="shared" si="1"/>
        <v>300</v>
      </c>
      <c r="W91" s="269" t="e">
        <f>VLOOKUP(B91,#REF!,35,0)</f>
        <v>#REF!</v>
      </c>
      <c r="X91" s="267" t="e">
        <f>VLOOKUP(B91,#REF!,37,0)</f>
        <v>#REF!</v>
      </c>
      <c r="Y91" s="270" t="e">
        <f>VLOOKUP(B91,#REF!,38,0)</f>
        <v>#REF!</v>
      </c>
      <c r="Z91" s="267" t="e">
        <f>VLOOKUP(B91,#REF!,72,0)</f>
        <v>#REF!</v>
      </c>
      <c r="AA91" s="267" t="e">
        <f>VLOOKUP(B91,#REF!,71,0)</f>
        <v>#REF!</v>
      </c>
      <c r="AB91" s="267" t="e">
        <f>VLOOKUP(B91,#REF!,36,0)</f>
        <v>#REF!</v>
      </c>
      <c r="AC91" s="267"/>
      <c r="AD91" s="271"/>
      <c r="AE91" s="271"/>
      <c r="AF91" s="271"/>
      <c r="AG91" s="271"/>
      <c r="AH91" s="271"/>
      <c r="AI91" s="271"/>
      <c r="AJ91" s="271"/>
      <c r="AK91" s="268" t="e">
        <f>V91/#REF!*(W91+Z91/8*2+AA91/8*1.5+AB91*3)+J91/#REF!*(X91+Y91)+AC91+P91+AE91+AG91+AH91+AI91+AJ91</f>
        <v>#REF!</v>
      </c>
      <c r="AL91" s="267">
        <f t="shared" si="98"/>
        <v>535.5</v>
      </c>
      <c r="AM91" s="414">
        <v>5100</v>
      </c>
      <c r="AN91" s="272" t="e">
        <f>VLOOKUP(B91,#REF!,75,0)</f>
        <v>#REF!</v>
      </c>
      <c r="AO91" s="272"/>
      <c r="AP91" s="273" t="e">
        <f t="shared" si="99"/>
        <v>#REF!</v>
      </c>
    </row>
    <row r="92" spans="1:42" s="459" customFormat="1">
      <c r="A92" s="262"/>
      <c r="B92" s="391" t="s">
        <v>579</v>
      </c>
      <c r="C92" s="292" t="s">
        <v>286</v>
      </c>
      <c r="D92" s="280" t="s">
        <v>287</v>
      </c>
      <c r="E92" s="493">
        <v>42065</v>
      </c>
      <c r="F92" s="265">
        <v>2</v>
      </c>
      <c r="G92" s="266">
        <f t="shared" si="94"/>
        <v>3</v>
      </c>
      <c r="H92" s="266">
        <f t="shared" si="95"/>
        <v>5</v>
      </c>
      <c r="I92" s="267">
        <f t="shared" si="96"/>
        <v>23</v>
      </c>
      <c r="J92" s="267">
        <f>VLOOKUP(D92,'THANG B.LUONG'!$B$5:$I$513,F92+1,0)</f>
        <v>0</v>
      </c>
      <c r="K92" s="267">
        <v>0</v>
      </c>
      <c r="L92" s="267">
        <v>0</v>
      </c>
      <c r="M92" s="267">
        <f t="shared" si="97"/>
        <v>0</v>
      </c>
      <c r="N92" s="267">
        <v>0</v>
      </c>
      <c r="O92" s="267">
        <v>0</v>
      </c>
      <c r="P92" s="267">
        <v>0</v>
      </c>
      <c r="Q92" s="267">
        <v>0</v>
      </c>
      <c r="R92" s="267">
        <v>0</v>
      </c>
      <c r="S92" s="267">
        <v>0</v>
      </c>
      <c r="T92" s="267">
        <v>0</v>
      </c>
      <c r="U92" s="267">
        <v>0</v>
      </c>
      <c r="V92" s="268">
        <f t="shared" si="1"/>
        <v>0</v>
      </c>
      <c r="W92" s="269" t="e">
        <f>VLOOKUP(B92,#REF!,35,0)</f>
        <v>#REF!</v>
      </c>
      <c r="X92" s="267" t="e">
        <f>VLOOKUP(B92,#REF!,37,0)</f>
        <v>#REF!</v>
      </c>
      <c r="Y92" s="270" t="e">
        <f>VLOOKUP(B92,#REF!,38,0)</f>
        <v>#REF!</v>
      </c>
      <c r="Z92" s="267" t="e">
        <f>VLOOKUP(B92,#REF!,72,0)</f>
        <v>#REF!</v>
      </c>
      <c r="AA92" s="267" t="e">
        <f>VLOOKUP(B92,#REF!,71,0)</f>
        <v>#REF!</v>
      </c>
      <c r="AB92" s="267" t="e">
        <f>VLOOKUP(B92,#REF!,36,0)</f>
        <v>#REF!</v>
      </c>
      <c r="AC92" s="267"/>
      <c r="AD92" s="271"/>
      <c r="AE92" s="271"/>
      <c r="AF92" s="271"/>
      <c r="AG92" s="271"/>
      <c r="AH92" s="271"/>
      <c r="AI92" s="271"/>
      <c r="AJ92" s="271"/>
      <c r="AK92" s="268" t="e">
        <f>V92/#REF!*(W92+Z92/8*2+AA92/8*1.5+AB92*3)+J92/#REF!*(X92+Y92)+AC92+P92+AE92+AG92+AH92+AI92+AJ92</f>
        <v>#REF!</v>
      </c>
      <c r="AL92" s="267">
        <f t="shared" si="98"/>
        <v>504</v>
      </c>
      <c r="AM92" s="414">
        <v>4800</v>
      </c>
      <c r="AN92" s="272" t="e">
        <f>VLOOKUP(B92,#REF!,75,0)</f>
        <v>#REF!</v>
      </c>
      <c r="AO92" s="272"/>
      <c r="AP92" s="273" t="e">
        <f t="shared" si="99"/>
        <v>#REF!</v>
      </c>
    </row>
    <row r="93" spans="1:42" s="459" customFormat="1">
      <c r="A93" s="262"/>
      <c r="B93" s="391" t="s">
        <v>594</v>
      </c>
      <c r="C93" s="293" t="s">
        <v>383</v>
      </c>
      <c r="D93" s="280" t="s">
        <v>287</v>
      </c>
      <c r="E93" s="493">
        <v>41108</v>
      </c>
      <c r="F93" s="265">
        <v>2</v>
      </c>
      <c r="G93" s="266">
        <f>DATEDIF(E93,$J$3,"y")</f>
        <v>6</v>
      </c>
      <c r="H93" s="266">
        <f>DATEDIF(E93,$J$3,"ym")</f>
        <v>1</v>
      </c>
      <c r="I93" s="267">
        <f>DATEDIF(E93,$J$3,"md")</f>
        <v>7</v>
      </c>
      <c r="J93" s="267">
        <f>VLOOKUP(D93,'THANG B.LUONG'!$B$5:$I$513,F93+1,0)</f>
        <v>0</v>
      </c>
      <c r="K93" s="267">
        <v>0</v>
      </c>
      <c r="L93" s="267">
        <v>0</v>
      </c>
      <c r="M93" s="267">
        <f t="shared" si="97"/>
        <v>0</v>
      </c>
      <c r="N93" s="267">
        <v>0</v>
      </c>
      <c r="O93" s="267">
        <v>0</v>
      </c>
      <c r="P93" s="267">
        <v>0</v>
      </c>
      <c r="Q93" s="267">
        <v>0</v>
      </c>
      <c r="R93" s="267">
        <v>0</v>
      </c>
      <c r="S93" s="267">
        <v>0</v>
      </c>
      <c r="T93" s="267">
        <v>0</v>
      </c>
      <c r="U93" s="267">
        <v>0</v>
      </c>
      <c r="V93" s="268">
        <f>SUM(J93:U93)-P93</f>
        <v>0</v>
      </c>
      <c r="W93" s="269" t="e">
        <f>VLOOKUP(B93,#REF!,35,0)</f>
        <v>#REF!</v>
      </c>
      <c r="X93" s="267" t="e">
        <f>VLOOKUP(B93,#REF!,37,0)</f>
        <v>#REF!</v>
      </c>
      <c r="Y93" s="270" t="e">
        <f>VLOOKUP(B93,#REF!,38,0)</f>
        <v>#REF!</v>
      </c>
      <c r="Z93" s="267" t="e">
        <f>VLOOKUP(B93,#REF!,72,0)</f>
        <v>#REF!</v>
      </c>
      <c r="AA93" s="267" t="e">
        <f>VLOOKUP(B93,#REF!,71,0)</f>
        <v>#REF!</v>
      </c>
      <c r="AB93" s="267" t="e">
        <f>VLOOKUP(B93,#REF!,36,0)</f>
        <v>#REF!</v>
      </c>
      <c r="AC93" s="267"/>
      <c r="AD93" s="271"/>
      <c r="AE93" s="271"/>
      <c r="AF93" s="271"/>
      <c r="AG93" s="271"/>
      <c r="AH93" s="405"/>
      <c r="AI93" s="271"/>
      <c r="AJ93" s="271"/>
      <c r="AK93" s="268" t="e">
        <f>V93/#REF!*(W93+Z93/8*2+AA93/8*1.5+AB93*3)+J93/#REF!*(X93+Y93)+AC93+P93+AE93+AG93+AH93+AI93+AJ93</f>
        <v>#REF!</v>
      </c>
      <c r="AL93" s="267">
        <f t="shared" si="98"/>
        <v>504</v>
      </c>
      <c r="AM93" s="414">
        <v>4800</v>
      </c>
      <c r="AN93" s="272" t="e">
        <f>VLOOKUP(B93,#REF!,75,0)</f>
        <v>#REF!</v>
      </c>
      <c r="AO93" s="272"/>
      <c r="AP93" s="273" t="e">
        <f>ROUND(AK93-AL93-AN93+AO93,-1)</f>
        <v>#REF!</v>
      </c>
    </row>
    <row r="94" spans="1:42" s="523" customFormat="1">
      <c r="A94" s="509"/>
      <c r="B94" s="511" t="s">
        <v>799</v>
      </c>
      <c r="C94" s="536" t="s">
        <v>797</v>
      </c>
      <c r="D94" s="510" t="str">
        <f>'THANG B.LUONG'!B134</f>
        <v>Nhân viên điện - cơ điện</v>
      </c>
      <c r="E94" s="512">
        <v>43332</v>
      </c>
      <c r="F94" s="527">
        <v>1</v>
      </c>
      <c r="G94" s="514">
        <f>DATEDIF(E94,$J$3,"y")</f>
        <v>0</v>
      </c>
      <c r="H94" s="514">
        <f>DATEDIF(E94,$J$3,"ym")</f>
        <v>0</v>
      </c>
      <c r="I94" s="515">
        <f>DATEDIF(E94,$J$3,"md")</f>
        <v>5</v>
      </c>
      <c r="J94" s="515">
        <f>VLOOKUP(D94,'THANG B.LUONG'!$B$5:$I$513,F94+1,0)</f>
        <v>0</v>
      </c>
      <c r="K94" s="515">
        <v>0</v>
      </c>
      <c r="L94" s="515">
        <v>0</v>
      </c>
      <c r="M94" s="515">
        <f t="shared" si="97"/>
        <v>0</v>
      </c>
      <c r="N94" s="515">
        <v>0</v>
      </c>
      <c r="O94" s="515">
        <v>0</v>
      </c>
      <c r="P94" s="515">
        <v>0</v>
      </c>
      <c r="Q94" s="515">
        <v>0</v>
      </c>
      <c r="R94" s="515">
        <v>0</v>
      </c>
      <c r="S94" s="515">
        <v>0</v>
      </c>
      <c r="T94" s="515">
        <v>0</v>
      </c>
      <c r="U94" s="515">
        <v>0</v>
      </c>
      <c r="V94" s="516">
        <f>(SUM(J94:U94)-P94)*0.85</f>
        <v>0</v>
      </c>
      <c r="W94" s="517" t="e">
        <f>VLOOKUP(B94,#REF!,35,0)</f>
        <v>#REF!</v>
      </c>
      <c r="X94" s="515" t="e">
        <f>VLOOKUP(B94,#REF!,37,0)</f>
        <v>#REF!</v>
      </c>
      <c r="Y94" s="518" t="e">
        <f>VLOOKUP(B94,#REF!,38,0)</f>
        <v>#REF!</v>
      </c>
      <c r="Z94" s="515" t="e">
        <f>VLOOKUP(B94,#REF!,72,0)</f>
        <v>#REF!</v>
      </c>
      <c r="AA94" s="515" t="e">
        <f>VLOOKUP(B94,#REF!,71,0)</f>
        <v>#REF!</v>
      </c>
      <c r="AB94" s="515" t="e">
        <f>VLOOKUP(B94,#REF!,36,0)</f>
        <v>#REF!</v>
      </c>
      <c r="AC94" s="515"/>
      <c r="AD94" s="519"/>
      <c r="AE94" s="519"/>
      <c r="AF94" s="519"/>
      <c r="AG94" s="519"/>
      <c r="AH94" s="519"/>
      <c r="AI94" s="519"/>
      <c r="AJ94" s="519"/>
      <c r="AK94" s="516" t="e">
        <f>V94/#REF!*(W94+Z94/8*2+AA94/8*1.5+AB94*3)+J94/#REF!*(X94+Y94)+AC94+P94+AE94+AG94+AH94+AI94+AJ94</f>
        <v>#REF!</v>
      </c>
      <c r="AL94" s="515">
        <f t="shared" ref="AL94" si="100">AM94*$AN$3</f>
        <v>0</v>
      </c>
      <c r="AM94" s="529">
        <v>0</v>
      </c>
      <c r="AN94" s="272" t="e">
        <f>VLOOKUP(B94,#REF!,75,0)</f>
        <v>#REF!</v>
      </c>
      <c r="AO94" s="520"/>
      <c r="AP94" s="521" t="e">
        <f>ROUND(AK94-AL94-AN94+AO94,-1)</f>
        <v>#REF!</v>
      </c>
    </row>
    <row r="95" spans="1:42" s="459" customFormat="1">
      <c r="A95" s="262"/>
      <c r="B95" s="391" t="s">
        <v>580</v>
      </c>
      <c r="C95" s="293" t="s">
        <v>311</v>
      </c>
      <c r="D95" s="280" t="str">
        <f>'THANG B.LUONG'!B98</f>
        <v>Tổ trưởng vận hành máy</v>
      </c>
      <c r="E95" s="493">
        <v>42933</v>
      </c>
      <c r="F95" s="265">
        <v>2</v>
      </c>
      <c r="G95" s="266">
        <f t="shared" si="94"/>
        <v>1</v>
      </c>
      <c r="H95" s="266">
        <f t="shared" si="95"/>
        <v>1</v>
      </c>
      <c r="I95" s="267">
        <f t="shared" si="96"/>
        <v>8</v>
      </c>
      <c r="J95" s="267">
        <f>VLOOKUP(D95,'THANG B.LUONG'!$B$5:$I$513,F95+1,0)</f>
        <v>0</v>
      </c>
      <c r="K95" s="267">
        <v>0</v>
      </c>
      <c r="L95" s="267">
        <v>500</v>
      </c>
      <c r="M95" s="267">
        <f t="shared" si="97"/>
        <v>0</v>
      </c>
      <c r="N95" s="267">
        <v>0</v>
      </c>
      <c r="O95" s="267">
        <v>200</v>
      </c>
      <c r="P95" s="267">
        <v>300</v>
      </c>
      <c r="Q95" s="267">
        <v>0</v>
      </c>
      <c r="R95" s="267">
        <v>0</v>
      </c>
      <c r="S95" s="267">
        <v>0</v>
      </c>
      <c r="T95" s="267">
        <v>0</v>
      </c>
      <c r="U95" s="267">
        <v>0</v>
      </c>
      <c r="V95" s="268">
        <f t="shared" si="1"/>
        <v>700</v>
      </c>
      <c r="W95" s="269" t="e">
        <f>VLOOKUP(B95,#REF!,35,0)</f>
        <v>#REF!</v>
      </c>
      <c r="X95" s="267" t="e">
        <f>VLOOKUP(B95,#REF!,37,0)</f>
        <v>#REF!</v>
      </c>
      <c r="Y95" s="270" t="e">
        <f>VLOOKUP(B95,#REF!,38,0)</f>
        <v>#REF!</v>
      </c>
      <c r="Z95" s="267" t="e">
        <f>VLOOKUP(B95,#REF!,72,0)</f>
        <v>#REF!</v>
      </c>
      <c r="AA95" s="267" t="e">
        <f>VLOOKUP(B95,#REF!,71,0)</f>
        <v>#REF!</v>
      </c>
      <c r="AB95" s="267" t="e">
        <f>VLOOKUP(B95,#REF!,36,0)</f>
        <v>#REF!</v>
      </c>
      <c r="AC95" s="267"/>
      <c r="AD95" s="271"/>
      <c r="AE95" s="271"/>
      <c r="AF95" s="271"/>
      <c r="AG95" s="271"/>
      <c r="AH95" s="271"/>
      <c r="AI95" s="271"/>
      <c r="AJ95" s="271"/>
      <c r="AK95" s="268" t="e">
        <f>V95/#REF!*(W95+Z95/8*2+AA95/8*1.5+AB95*3)+J95/#REF!*(X95+Y95)+AC95+P95+AE95+AG95+AH95+AI95+AJ95</f>
        <v>#REF!</v>
      </c>
      <c r="AL95" s="267">
        <f t="shared" si="98"/>
        <v>535.5</v>
      </c>
      <c r="AM95" s="385">
        <v>5100</v>
      </c>
      <c r="AN95" s="272" t="e">
        <f>VLOOKUP(B95,#REF!,75,0)</f>
        <v>#REF!</v>
      </c>
      <c r="AO95" s="272"/>
      <c r="AP95" s="273" t="e">
        <f t="shared" si="99"/>
        <v>#REF!</v>
      </c>
    </row>
    <row r="96" spans="1:42" s="459" customFormat="1">
      <c r="A96" s="262"/>
      <c r="B96" s="475" t="s">
        <v>581</v>
      </c>
      <c r="C96" s="440" t="s">
        <v>384</v>
      </c>
      <c r="D96" s="441" t="str">
        <f>'THANG B.LUONG'!$B$100</f>
        <v>Nhân viên vận hành máy</v>
      </c>
      <c r="E96" s="493">
        <v>42419</v>
      </c>
      <c r="F96" s="265">
        <v>2</v>
      </c>
      <c r="G96" s="266">
        <f t="shared" si="94"/>
        <v>2</v>
      </c>
      <c r="H96" s="266">
        <f t="shared" si="95"/>
        <v>6</v>
      </c>
      <c r="I96" s="267">
        <f t="shared" si="96"/>
        <v>6</v>
      </c>
      <c r="J96" s="267">
        <f>VLOOKUP(D96,'THANG B.LUONG'!$B$5:$I$513,F96+1,0)</f>
        <v>0</v>
      </c>
      <c r="K96" s="267">
        <v>200</v>
      </c>
      <c r="L96" s="267">
        <v>0</v>
      </c>
      <c r="M96" s="267">
        <f t="shared" si="97"/>
        <v>0</v>
      </c>
      <c r="N96" s="267">
        <v>0</v>
      </c>
      <c r="O96" s="267">
        <v>0</v>
      </c>
      <c r="P96" s="267">
        <v>0</v>
      </c>
      <c r="Q96" s="267">
        <v>0</v>
      </c>
      <c r="R96" s="267">
        <v>0</v>
      </c>
      <c r="S96" s="267">
        <v>0</v>
      </c>
      <c r="T96" s="267">
        <v>0</v>
      </c>
      <c r="U96" s="267">
        <v>0</v>
      </c>
      <c r="V96" s="268">
        <f t="shared" ref="V96:V100" si="101">SUM(J96:U96)-P96</f>
        <v>200</v>
      </c>
      <c r="W96" s="269" t="e">
        <f>VLOOKUP(B96,#REF!,35,0)</f>
        <v>#REF!</v>
      </c>
      <c r="X96" s="267" t="e">
        <f>VLOOKUP(B96,#REF!,37,0)</f>
        <v>#REF!</v>
      </c>
      <c r="Y96" s="270" t="e">
        <f>VLOOKUP(B96,#REF!,38,0)</f>
        <v>#REF!</v>
      </c>
      <c r="Z96" s="267" t="e">
        <f>VLOOKUP(B96,#REF!,72,0)</f>
        <v>#REF!</v>
      </c>
      <c r="AA96" s="267" t="e">
        <f>VLOOKUP(B96,#REF!,71,0)</f>
        <v>#REF!</v>
      </c>
      <c r="AB96" s="267" t="e">
        <f>VLOOKUP(B96,#REF!,36,0)</f>
        <v>#REF!</v>
      </c>
      <c r="AC96" s="271"/>
      <c r="AD96" s="271"/>
      <c r="AE96" s="271"/>
      <c r="AF96" s="271"/>
      <c r="AG96" s="271"/>
      <c r="AH96" s="271"/>
      <c r="AI96" s="271"/>
      <c r="AJ96" s="271"/>
      <c r="AK96" s="268" t="e">
        <f>V96/#REF!*(W96+Z96/8*2+AA96/8*1.5+AB96*3)+J96/#REF!*(X96+Y96)+AC96+P96+AE96+AG96+AH96+AI96+AJ96</f>
        <v>#REF!</v>
      </c>
      <c r="AL96" s="267">
        <f t="shared" si="98"/>
        <v>480.58499999999998</v>
      </c>
      <c r="AM96" s="414">
        <v>4577</v>
      </c>
      <c r="AN96" s="272" t="e">
        <f>VLOOKUP(B96,#REF!,75,0)</f>
        <v>#REF!</v>
      </c>
      <c r="AO96" s="387"/>
      <c r="AP96" s="442" t="e">
        <f t="shared" si="99"/>
        <v>#REF!</v>
      </c>
    </row>
    <row r="97" spans="1:42" s="459" customFormat="1">
      <c r="A97" s="262"/>
      <c r="B97" s="484" t="s">
        <v>643</v>
      </c>
      <c r="C97" s="485" t="s">
        <v>646</v>
      </c>
      <c r="D97" s="486" t="s">
        <v>507</v>
      </c>
      <c r="E97" s="496">
        <v>42424</v>
      </c>
      <c r="F97" s="265">
        <v>2</v>
      </c>
      <c r="G97" s="266">
        <f>DATEDIF(E97,$J$3,"y")</f>
        <v>2</v>
      </c>
      <c r="H97" s="266">
        <f>DATEDIF(E97,$J$3,"ym")</f>
        <v>6</v>
      </c>
      <c r="I97" s="267">
        <f>DATEDIF(E97,$J$3,"md")</f>
        <v>1</v>
      </c>
      <c r="J97" s="267">
        <f>VLOOKUP(D97,'THANG B.LUONG'!$B$5:$I$513,F97+1,0)</f>
        <v>0</v>
      </c>
      <c r="K97" s="267">
        <v>200</v>
      </c>
      <c r="L97" s="267">
        <v>0</v>
      </c>
      <c r="M97" s="267">
        <f t="shared" si="97"/>
        <v>0</v>
      </c>
      <c r="N97" s="267">
        <v>0</v>
      </c>
      <c r="O97" s="267">
        <v>0</v>
      </c>
      <c r="P97" s="267">
        <v>0</v>
      </c>
      <c r="Q97" s="267">
        <v>0</v>
      </c>
      <c r="R97" s="267">
        <v>0</v>
      </c>
      <c r="S97" s="267">
        <v>0</v>
      </c>
      <c r="T97" s="267">
        <v>0</v>
      </c>
      <c r="U97" s="267">
        <v>0</v>
      </c>
      <c r="V97" s="268">
        <f>SUM(J97:U97)-P97</f>
        <v>200</v>
      </c>
      <c r="W97" s="269" t="e">
        <f>VLOOKUP(B97,#REF!,35,0)</f>
        <v>#REF!</v>
      </c>
      <c r="X97" s="267" t="e">
        <f>VLOOKUP(B97,#REF!,37,0)</f>
        <v>#REF!</v>
      </c>
      <c r="Y97" s="270" t="e">
        <f>VLOOKUP(B97,#REF!,38,0)</f>
        <v>#REF!</v>
      </c>
      <c r="Z97" s="267" t="e">
        <f>VLOOKUP(B97,#REF!,72,0)</f>
        <v>#REF!</v>
      </c>
      <c r="AA97" s="267" t="e">
        <f>VLOOKUP(B97,#REF!,71,0)</f>
        <v>#REF!</v>
      </c>
      <c r="AB97" s="267" t="e">
        <f>VLOOKUP(B97,#REF!,36,0)</f>
        <v>#REF!</v>
      </c>
      <c r="AC97" s="271"/>
      <c r="AD97" s="271"/>
      <c r="AE97" s="271"/>
      <c r="AF97" s="271"/>
      <c r="AG97" s="271"/>
      <c r="AH97" s="405"/>
      <c r="AI97" s="271"/>
      <c r="AJ97" s="271"/>
      <c r="AK97" s="268" t="e">
        <f>V97/#REF!*(W97+Z97/8*2+AA97/8*1.5+AB97*3)+J97/#REF!*(X97+Y97)+AC97+P97+AE97+AG97+AH97+AI97+AJ97</f>
        <v>#REF!</v>
      </c>
      <c r="AL97" s="438">
        <f>AM97*$AN$3</f>
        <v>480.58499999999998</v>
      </c>
      <c r="AM97" s="414">
        <v>4577</v>
      </c>
      <c r="AN97" s="272" t="e">
        <f>VLOOKUP(B97,#REF!,75,0)</f>
        <v>#REF!</v>
      </c>
      <c r="AO97" s="436"/>
      <c r="AP97" s="442" t="e">
        <f>ROUND(AK97-AL97-AN97+AO97,-1)</f>
        <v>#REF!</v>
      </c>
    </row>
    <row r="98" spans="1:42" s="459" customFormat="1">
      <c r="A98" s="262"/>
      <c r="B98" s="482" t="s">
        <v>747</v>
      </c>
      <c r="C98" s="485" t="s">
        <v>749</v>
      </c>
      <c r="D98" s="486" t="s">
        <v>507</v>
      </c>
      <c r="E98" s="496">
        <v>43236</v>
      </c>
      <c r="F98" s="265">
        <v>2</v>
      </c>
      <c r="G98" s="266">
        <f>DATEDIF(E98,$J$3,"y")</f>
        <v>0</v>
      </c>
      <c r="H98" s="266">
        <f>DATEDIF(E98,$J$3,"ym")</f>
        <v>3</v>
      </c>
      <c r="I98" s="267">
        <f>DATEDIF(E98,$J$3,"md")</f>
        <v>9</v>
      </c>
      <c r="J98" s="267">
        <f>VLOOKUP(D98,'THANG B.LUONG'!$B$5:$I$513,F98+1,0)</f>
        <v>0</v>
      </c>
      <c r="K98" s="267">
        <v>200</v>
      </c>
      <c r="L98" s="267">
        <v>0</v>
      </c>
      <c r="M98" s="267">
        <f t="shared" si="97"/>
        <v>0</v>
      </c>
      <c r="N98" s="267">
        <v>0</v>
      </c>
      <c r="O98" s="267">
        <v>0</v>
      </c>
      <c r="P98" s="267">
        <v>0</v>
      </c>
      <c r="Q98" s="267">
        <v>0</v>
      </c>
      <c r="R98" s="267">
        <v>0</v>
      </c>
      <c r="S98" s="267">
        <v>0</v>
      </c>
      <c r="T98" s="267">
        <v>0</v>
      </c>
      <c r="U98" s="267">
        <v>0</v>
      </c>
      <c r="V98" s="268">
        <f>SUM(J98:U98)-P98</f>
        <v>200</v>
      </c>
      <c r="W98" s="269" t="e">
        <f>VLOOKUP(B98,#REF!,35,0)</f>
        <v>#REF!</v>
      </c>
      <c r="X98" s="267" t="e">
        <f>VLOOKUP(B98,#REF!,37,0)</f>
        <v>#REF!</v>
      </c>
      <c r="Y98" s="270" t="e">
        <f>VLOOKUP(B98,#REF!,38,0)</f>
        <v>#REF!</v>
      </c>
      <c r="Z98" s="267" t="e">
        <f>VLOOKUP(B98,#REF!,72,0)</f>
        <v>#REF!</v>
      </c>
      <c r="AA98" s="267" t="e">
        <f>VLOOKUP(B98,#REF!,71,0)</f>
        <v>#REF!</v>
      </c>
      <c r="AB98" s="267" t="e">
        <f>VLOOKUP(B98,#REF!,36,0)</f>
        <v>#REF!</v>
      </c>
      <c r="AC98" s="271"/>
      <c r="AD98" s="271"/>
      <c r="AE98" s="271"/>
      <c r="AF98" s="271"/>
      <c r="AG98" s="271"/>
      <c r="AH98" s="405"/>
      <c r="AI98" s="271"/>
      <c r="AJ98" s="271"/>
      <c r="AK98" s="268" t="e">
        <f>V98/#REF!*(W98+Z98/8*2+AA98/8*1.5+AB98*3)+J98/#REF!*(X98+Y98)+AC98+P98+AE98+AG98+AH98+AI98+AJ98</f>
        <v>#REF!</v>
      </c>
      <c r="AL98" s="267">
        <f>AM98*$AN$3</f>
        <v>0</v>
      </c>
      <c r="AM98" s="414">
        <v>0</v>
      </c>
      <c r="AN98" s="272" t="e">
        <f>VLOOKUP(B98,#REF!,75,0)</f>
        <v>#REF!</v>
      </c>
      <c r="AO98" s="436"/>
      <c r="AP98" s="442" t="e">
        <f>ROUND(AK98-AL98-AN98+AO98,-1)</f>
        <v>#REF!</v>
      </c>
    </row>
    <row r="99" spans="1:42" s="459" customFormat="1">
      <c r="A99" s="262"/>
      <c r="B99" s="484" t="s">
        <v>748</v>
      </c>
      <c r="C99" s="485" t="s">
        <v>750</v>
      </c>
      <c r="D99" s="486" t="s">
        <v>507</v>
      </c>
      <c r="E99" s="496">
        <v>43236</v>
      </c>
      <c r="F99" s="265">
        <v>2</v>
      </c>
      <c r="G99" s="266">
        <f>DATEDIF(E99,$J$3,"y")</f>
        <v>0</v>
      </c>
      <c r="H99" s="266">
        <f>DATEDIF(E99,$J$3,"ym")</f>
        <v>3</v>
      </c>
      <c r="I99" s="267">
        <f>DATEDIF(E99,$J$3,"md")</f>
        <v>9</v>
      </c>
      <c r="J99" s="267">
        <f>VLOOKUP(D99,'THANG B.LUONG'!$B$5:$I$513,F99+1,0)</f>
        <v>0</v>
      </c>
      <c r="K99" s="267">
        <v>200</v>
      </c>
      <c r="L99" s="267">
        <v>0</v>
      </c>
      <c r="M99" s="267">
        <f t="shared" si="97"/>
        <v>0</v>
      </c>
      <c r="N99" s="267">
        <v>0</v>
      </c>
      <c r="O99" s="267">
        <v>0</v>
      </c>
      <c r="P99" s="267">
        <v>0</v>
      </c>
      <c r="Q99" s="267">
        <v>0</v>
      </c>
      <c r="R99" s="267">
        <v>0</v>
      </c>
      <c r="S99" s="267">
        <v>0</v>
      </c>
      <c r="T99" s="267">
        <v>0</v>
      </c>
      <c r="U99" s="267">
        <v>0</v>
      </c>
      <c r="V99" s="268">
        <f>SUM(J99:U99)-P99</f>
        <v>200</v>
      </c>
      <c r="W99" s="269" t="e">
        <f>VLOOKUP(B99,#REF!,35,0)</f>
        <v>#REF!</v>
      </c>
      <c r="X99" s="267" t="e">
        <f>VLOOKUP(B99,#REF!,37,0)</f>
        <v>#REF!</v>
      </c>
      <c r="Y99" s="270" t="e">
        <f>VLOOKUP(B99,#REF!,38,0)</f>
        <v>#REF!</v>
      </c>
      <c r="Z99" s="267" t="e">
        <f>VLOOKUP(B99,#REF!,72,0)</f>
        <v>#REF!</v>
      </c>
      <c r="AA99" s="267" t="e">
        <f>VLOOKUP(B99,#REF!,71,0)</f>
        <v>#REF!</v>
      </c>
      <c r="AB99" s="267" t="e">
        <f>VLOOKUP(B99,#REF!,36,0)</f>
        <v>#REF!</v>
      </c>
      <c r="AC99" s="271"/>
      <c r="AD99" s="271"/>
      <c r="AE99" s="271"/>
      <c r="AF99" s="271"/>
      <c r="AG99" s="271"/>
      <c r="AH99" s="405"/>
      <c r="AI99" s="271"/>
      <c r="AJ99" s="271"/>
      <c r="AK99" s="268" t="e">
        <f>V99/#REF!*(W99+Z99/8*2+AA99/8*1.5+AB99*3)+J99/#REF!*(X99+Y99)+AC99+P99+AE99+AG99+AH99+AI99+AJ99</f>
        <v>#REF!</v>
      </c>
      <c r="AL99" s="267">
        <f>AM99*$AN$3</f>
        <v>0</v>
      </c>
      <c r="AM99" s="414">
        <v>0</v>
      </c>
      <c r="AN99" s="272" t="e">
        <f>VLOOKUP(B99,#REF!,75,0)</f>
        <v>#REF!</v>
      </c>
      <c r="AO99" s="436"/>
      <c r="AP99" s="442" t="e">
        <f>ROUND(AK99-AL99-AN99+AO99,-1)</f>
        <v>#REF!</v>
      </c>
    </row>
    <row r="100" spans="1:42" s="459" customFormat="1">
      <c r="A100" s="262"/>
      <c r="B100" s="391" t="s">
        <v>582</v>
      </c>
      <c r="C100" s="292" t="s">
        <v>382</v>
      </c>
      <c r="D100" s="322" t="str">
        <f>'THANG B.LUONG'!$B$100</f>
        <v>Nhân viên vận hành máy</v>
      </c>
      <c r="E100" s="493">
        <v>42417</v>
      </c>
      <c r="F100" s="265">
        <v>2</v>
      </c>
      <c r="G100" s="266">
        <f t="shared" si="94"/>
        <v>2</v>
      </c>
      <c r="H100" s="266">
        <f t="shared" si="95"/>
        <v>6</v>
      </c>
      <c r="I100" s="267">
        <f t="shared" si="96"/>
        <v>8</v>
      </c>
      <c r="J100" s="267">
        <f>VLOOKUP(D100,'THANG B.LUONG'!$B$5:$I$513,F100+1,0)</f>
        <v>0</v>
      </c>
      <c r="K100" s="267">
        <v>200</v>
      </c>
      <c r="L100" s="267">
        <v>0</v>
      </c>
      <c r="M100" s="267">
        <f t="shared" si="97"/>
        <v>0</v>
      </c>
      <c r="N100" s="267">
        <v>0</v>
      </c>
      <c r="O100" s="267">
        <v>0</v>
      </c>
      <c r="P100" s="267">
        <v>0</v>
      </c>
      <c r="Q100" s="267">
        <v>0</v>
      </c>
      <c r="R100" s="267">
        <v>0</v>
      </c>
      <c r="S100" s="267">
        <v>0</v>
      </c>
      <c r="T100" s="267">
        <v>0</v>
      </c>
      <c r="U100" s="267">
        <v>0</v>
      </c>
      <c r="V100" s="268">
        <f t="shared" si="101"/>
        <v>200</v>
      </c>
      <c r="W100" s="269" t="e">
        <f>VLOOKUP(B100,#REF!,35,0)</f>
        <v>#REF!</v>
      </c>
      <c r="X100" s="267" t="e">
        <f>VLOOKUP(B100,#REF!,37,0)</f>
        <v>#REF!</v>
      </c>
      <c r="Y100" s="270" t="e">
        <f>VLOOKUP(B100,#REF!,38,0)</f>
        <v>#REF!</v>
      </c>
      <c r="Z100" s="267" t="e">
        <f>VLOOKUP(B100,#REF!,72,0)</f>
        <v>#REF!</v>
      </c>
      <c r="AA100" s="267" t="e">
        <f>VLOOKUP(B100,#REF!,71,0)</f>
        <v>#REF!</v>
      </c>
      <c r="AB100" s="267" t="e">
        <f>VLOOKUP(B100,#REF!,36,0)</f>
        <v>#REF!</v>
      </c>
      <c r="AC100" s="271"/>
      <c r="AD100" s="271"/>
      <c r="AE100" s="271"/>
      <c r="AF100" s="271"/>
      <c r="AG100" s="271"/>
      <c r="AH100" s="405"/>
      <c r="AI100" s="271"/>
      <c r="AJ100" s="271"/>
      <c r="AK100" s="268" t="e">
        <f>V100/#REF!*(W100+Z100/8*2+AA100/8*1.5+AB100*3)+J100/#REF!*(X100+Y100)+AC100+P100+AE100+AG100+AH100+AI100+AJ100</f>
        <v>#REF!</v>
      </c>
      <c r="AL100" s="267">
        <f t="shared" ref="AL100" si="102">AM100*$AN$3</f>
        <v>480.58499999999998</v>
      </c>
      <c r="AM100" s="414">
        <v>4577</v>
      </c>
      <c r="AN100" s="272" t="e">
        <f>VLOOKUP(B100,#REF!,75,0)</f>
        <v>#REF!</v>
      </c>
      <c r="AO100" s="387"/>
      <c r="AP100" s="442" t="e">
        <f t="shared" si="99"/>
        <v>#REF!</v>
      </c>
    </row>
    <row r="101" spans="1:42" s="459" customFormat="1">
      <c r="A101" s="262"/>
      <c r="B101" s="482" t="s">
        <v>641</v>
      </c>
      <c r="C101" s="293" t="s">
        <v>644</v>
      </c>
      <c r="D101" s="483" t="s">
        <v>507</v>
      </c>
      <c r="E101" s="496">
        <v>42789</v>
      </c>
      <c r="F101" s="265">
        <v>2</v>
      </c>
      <c r="G101" s="266">
        <f>DATEDIF(E101,$J$3,"y")</f>
        <v>1</v>
      </c>
      <c r="H101" s="266">
        <f>DATEDIF(E101,$J$3,"ym")</f>
        <v>6</v>
      </c>
      <c r="I101" s="267">
        <f>DATEDIF(E101,$J$3,"md")</f>
        <v>2</v>
      </c>
      <c r="J101" s="267">
        <f>VLOOKUP(D101,'THANG B.LUONG'!$B$5:$I$513,F101+1,0)</f>
        <v>0</v>
      </c>
      <c r="K101" s="267">
        <v>200</v>
      </c>
      <c r="L101" s="267">
        <v>0</v>
      </c>
      <c r="M101" s="267">
        <f t="shared" si="97"/>
        <v>0</v>
      </c>
      <c r="N101" s="267">
        <v>0</v>
      </c>
      <c r="O101" s="267">
        <v>0</v>
      </c>
      <c r="P101" s="267">
        <v>0</v>
      </c>
      <c r="Q101" s="267">
        <v>0</v>
      </c>
      <c r="R101" s="267">
        <v>0</v>
      </c>
      <c r="S101" s="267">
        <v>0</v>
      </c>
      <c r="T101" s="267">
        <v>0</v>
      </c>
      <c r="U101" s="267">
        <v>0</v>
      </c>
      <c r="V101" s="268">
        <f>SUM(J101:U101)-P101</f>
        <v>200</v>
      </c>
      <c r="W101" s="269" t="e">
        <f>VLOOKUP(B101,#REF!,35,0)</f>
        <v>#REF!</v>
      </c>
      <c r="X101" s="267" t="e">
        <f>VLOOKUP(B101,#REF!,37,0)</f>
        <v>#REF!</v>
      </c>
      <c r="Y101" s="270" t="e">
        <f>VLOOKUP(B101,#REF!,38,0)</f>
        <v>#REF!</v>
      </c>
      <c r="Z101" s="267" t="e">
        <f>VLOOKUP(B101,#REF!,72,0)</f>
        <v>#REF!</v>
      </c>
      <c r="AA101" s="267" t="e">
        <f>VLOOKUP(B101,#REF!,71,0)</f>
        <v>#REF!</v>
      </c>
      <c r="AB101" s="267" t="e">
        <f>VLOOKUP(B101,#REF!,36,0)</f>
        <v>#REF!</v>
      </c>
      <c r="AC101" s="271"/>
      <c r="AD101" s="271"/>
      <c r="AE101" s="271"/>
      <c r="AF101" s="271"/>
      <c r="AG101" s="271"/>
      <c r="AH101" s="405"/>
      <c r="AI101" s="271"/>
      <c r="AJ101" s="271"/>
      <c r="AK101" s="268" t="e">
        <f>V101/#REF!*(W101+Z101/8*2+AA101/8*1.5+AB101*3)+J101/#REF!*(X101+Y101)+AC101+P101+AE101+AG101+AH101+AI101+AJ101</f>
        <v>#REF!</v>
      </c>
      <c r="AL101" s="438">
        <f>AM101*$AN$3</f>
        <v>480.58499999999998</v>
      </c>
      <c r="AM101" s="414">
        <v>4577</v>
      </c>
      <c r="AN101" s="272" t="e">
        <f>VLOOKUP(B101,#REF!,75,0)</f>
        <v>#REF!</v>
      </c>
      <c r="AO101" s="436"/>
      <c r="AP101" s="442" t="e">
        <f>ROUND(AK101-AL101-AN101+AO101,-1)</f>
        <v>#REF!</v>
      </c>
    </row>
    <row r="102" spans="1:42" s="459" customFormat="1">
      <c r="A102" s="262"/>
      <c r="B102" s="482" t="s">
        <v>642</v>
      </c>
      <c r="C102" s="293" t="s">
        <v>645</v>
      </c>
      <c r="D102" s="483" t="s">
        <v>507</v>
      </c>
      <c r="E102" s="496">
        <v>42425</v>
      </c>
      <c r="F102" s="265">
        <v>2</v>
      </c>
      <c r="G102" s="266">
        <f>DATEDIF(E102,$J$3,"y")</f>
        <v>2</v>
      </c>
      <c r="H102" s="266">
        <f>DATEDIF(E102,$J$3,"ym")</f>
        <v>6</v>
      </c>
      <c r="I102" s="267">
        <f>DATEDIF(E102,$J$3,"md")</f>
        <v>0</v>
      </c>
      <c r="J102" s="267">
        <f>VLOOKUP(D102,'THANG B.LUONG'!$B$5:$I$513,F102+1,0)</f>
        <v>0</v>
      </c>
      <c r="K102" s="267">
        <v>200</v>
      </c>
      <c r="L102" s="267">
        <v>0</v>
      </c>
      <c r="M102" s="267">
        <f t="shared" si="97"/>
        <v>0</v>
      </c>
      <c r="N102" s="267">
        <v>0</v>
      </c>
      <c r="O102" s="267">
        <v>0</v>
      </c>
      <c r="P102" s="267">
        <v>0</v>
      </c>
      <c r="Q102" s="267">
        <v>0</v>
      </c>
      <c r="R102" s="267">
        <v>0</v>
      </c>
      <c r="S102" s="267">
        <v>0</v>
      </c>
      <c r="T102" s="267">
        <v>0</v>
      </c>
      <c r="U102" s="267">
        <v>0</v>
      </c>
      <c r="V102" s="268">
        <f>SUM(J102:U102)-P102</f>
        <v>200</v>
      </c>
      <c r="W102" s="269" t="e">
        <f>VLOOKUP(B102,#REF!,35,0)</f>
        <v>#REF!</v>
      </c>
      <c r="X102" s="267" t="e">
        <f>VLOOKUP(B102,#REF!,37,0)</f>
        <v>#REF!</v>
      </c>
      <c r="Y102" s="270" t="e">
        <f>VLOOKUP(B102,#REF!,38,0)</f>
        <v>#REF!</v>
      </c>
      <c r="Z102" s="267" t="e">
        <f>VLOOKUP(B102,#REF!,72,0)</f>
        <v>#REF!</v>
      </c>
      <c r="AA102" s="267" t="e">
        <f>VLOOKUP(B102,#REF!,71,0)</f>
        <v>#REF!</v>
      </c>
      <c r="AB102" s="267" t="e">
        <f>VLOOKUP(B102,#REF!,36,0)</f>
        <v>#REF!</v>
      </c>
      <c r="AC102" s="271"/>
      <c r="AD102" s="271"/>
      <c r="AE102" s="271"/>
      <c r="AF102" s="271"/>
      <c r="AG102" s="271"/>
      <c r="AH102" s="405"/>
      <c r="AI102" s="271"/>
      <c r="AJ102" s="271"/>
      <c r="AK102" s="268" t="e">
        <f>V102/#REF!*(W102+Z102/8*2+AA102/8*1.5+AB102*3)+J102/#REF!*(X102+Y102)+AC102+P102+AE102+AG102+AH102+AI102+AJ102</f>
        <v>#REF!</v>
      </c>
      <c r="AL102" s="438">
        <f>AM102*$AN$3</f>
        <v>480.58499999999998</v>
      </c>
      <c r="AM102" s="414">
        <v>4577</v>
      </c>
      <c r="AN102" s="272" t="e">
        <f>VLOOKUP(B102,#REF!,75,0)</f>
        <v>#REF!</v>
      </c>
      <c r="AO102" s="436"/>
      <c r="AP102" s="442" t="e">
        <f>ROUND(AK102-AL102-AN102+AO102,-1)</f>
        <v>#REF!</v>
      </c>
    </row>
    <row r="103" spans="1:42" s="459" customFormat="1">
      <c r="A103" s="262"/>
      <c r="B103" s="482" t="s">
        <v>769</v>
      </c>
      <c r="C103" s="293" t="s">
        <v>770</v>
      </c>
      <c r="D103" s="483" t="s">
        <v>507</v>
      </c>
      <c r="E103" s="496">
        <v>43248</v>
      </c>
      <c r="F103" s="265">
        <v>2</v>
      </c>
      <c r="G103" s="266">
        <f>DATEDIF(E103,$J$3,"y")</f>
        <v>0</v>
      </c>
      <c r="H103" s="266">
        <f>DATEDIF(E103,$J$3,"ym")</f>
        <v>2</v>
      </c>
      <c r="I103" s="267">
        <f>DATEDIF(E103,$J$3,"md")</f>
        <v>28</v>
      </c>
      <c r="J103" s="267">
        <f>VLOOKUP(D103,'THANG B.LUONG'!$B$5:$I$513,F103+1,0)</f>
        <v>0</v>
      </c>
      <c r="K103" s="267">
        <v>200</v>
      </c>
      <c r="L103" s="267">
        <v>0</v>
      </c>
      <c r="M103" s="267">
        <f t="shared" si="97"/>
        <v>0</v>
      </c>
      <c r="N103" s="267">
        <v>0</v>
      </c>
      <c r="O103" s="267">
        <v>0</v>
      </c>
      <c r="P103" s="267">
        <v>0</v>
      </c>
      <c r="Q103" s="267">
        <v>0</v>
      </c>
      <c r="R103" s="267">
        <v>0</v>
      </c>
      <c r="S103" s="267">
        <v>0</v>
      </c>
      <c r="T103" s="267">
        <v>0</v>
      </c>
      <c r="U103" s="267">
        <v>0</v>
      </c>
      <c r="V103" s="268">
        <f>SUM(J103:U103)-P103</f>
        <v>200</v>
      </c>
      <c r="W103" s="269" t="e">
        <f>VLOOKUP(B103,#REF!,35,0)</f>
        <v>#REF!</v>
      </c>
      <c r="X103" s="267" t="e">
        <f>VLOOKUP(B103,#REF!,37,0)</f>
        <v>#REF!</v>
      </c>
      <c r="Y103" s="270" t="e">
        <f>VLOOKUP(B103,#REF!,38,0)</f>
        <v>#REF!</v>
      </c>
      <c r="Z103" s="267" t="e">
        <f>VLOOKUP(B103,#REF!,72,0)</f>
        <v>#REF!</v>
      </c>
      <c r="AA103" s="267" t="e">
        <f>VLOOKUP(B103,#REF!,71,0)</f>
        <v>#REF!</v>
      </c>
      <c r="AB103" s="267" t="e">
        <f>VLOOKUP(B103,#REF!,36,0)</f>
        <v>#REF!</v>
      </c>
      <c r="AC103" s="271"/>
      <c r="AD103" s="271"/>
      <c r="AE103" s="271"/>
      <c r="AF103" s="271"/>
      <c r="AG103" s="271"/>
      <c r="AH103" s="271"/>
      <c r="AI103" s="271"/>
      <c r="AJ103" s="271"/>
      <c r="AK103" s="268" t="e">
        <f>V103/#REF!*(W103+Z103/8*2+AA103/8*1.5+AB103*3)+J103/#REF!*(X103+Y103)+AC103+P103+AE103+AG103+AH103+AI103+AJ103</f>
        <v>#REF!</v>
      </c>
      <c r="AL103" s="267">
        <f>AM103*$AN$3</f>
        <v>0</v>
      </c>
      <c r="AM103" s="414">
        <v>0</v>
      </c>
      <c r="AN103" s="272" t="e">
        <f>VLOOKUP(B103,#REF!,75,0)</f>
        <v>#REF!</v>
      </c>
      <c r="AO103" s="436"/>
      <c r="AP103" s="442" t="e">
        <f>ROUND(AK103-AL103-AN103+AO103,-1)</f>
        <v>#REF!</v>
      </c>
    </row>
    <row r="104" spans="1:42" s="459" customFormat="1">
      <c r="A104" s="262"/>
      <c r="B104" s="482" t="s">
        <v>790</v>
      </c>
      <c r="C104" s="293" t="s">
        <v>792</v>
      </c>
      <c r="D104" s="483" t="s">
        <v>507</v>
      </c>
      <c r="E104" s="496">
        <v>42422</v>
      </c>
      <c r="F104" s="265">
        <v>2</v>
      </c>
      <c r="G104" s="266">
        <f>DATEDIF(E104,$J$3,"y")</f>
        <v>2</v>
      </c>
      <c r="H104" s="266">
        <f>DATEDIF(E104,$J$3,"ym")</f>
        <v>6</v>
      </c>
      <c r="I104" s="267">
        <f>DATEDIF(E104,$J$3,"md")</f>
        <v>3</v>
      </c>
      <c r="J104" s="267">
        <f>VLOOKUP(D104,'THANG B.LUONG'!$B$5:$I$513,F104+1,0)</f>
        <v>0</v>
      </c>
      <c r="K104" s="267">
        <v>200</v>
      </c>
      <c r="L104" s="267">
        <v>0</v>
      </c>
      <c r="M104" s="267">
        <f t="shared" ref="M104" si="103">IF(G104&gt;=3,J104*(0.03+(G104-3)*0.01),0)</f>
        <v>0</v>
      </c>
      <c r="N104" s="267">
        <v>0</v>
      </c>
      <c r="O104" s="267">
        <v>0</v>
      </c>
      <c r="P104" s="267">
        <v>0</v>
      </c>
      <c r="Q104" s="267">
        <v>0</v>
      </c>
      <c r="R104" s="267">
        <v>0</v>
      </c>
      <c r="S104" s="267">
        <v>0</v>
      </c>
      <c r="T104" s="267">
        <v>0</v>
      </c>
      <c r="U104" s="267">
        <v>0</v>
      </c>
      <c r="V104" s="268">
        <f>SUM(J104:U104)-P104</f>
        <v>200</v>
      </c>
      <c r="W104" s="269" t="e">
        <f>VLOOKUP(B104,#REF!,35,0)</f>
        <v>#REF!</v>
      </c>
      <c r="X104" s="267" t="e">
        <f>VLOOKUP(B104,#REF!,37,0)</f>
        <v>#REF!</v>
      </c>
      <c r="Y104" s="270" t="e">
        <f>VLOOKUP(B104,#REF!,38,0)</f>
        <v>#REF!</v>
      </c>
      <c r="Z104" s="267" t="e">
        <f>VLOOKUP(B104,#REF!,72,0)</f>
        <v>#REF!</v>
      </c>
      <c r="AA104" s="267" t="e">
        <f>VLOOKUP(B104,#REF!,71,0)</f>
        <v>#REF!</v>
      </c>
      <c r="AB104" s="267" t="e">
        <f>VLOOKUP(B104,#REF!,36,0)</f>
        <v>#REF!</v>
      </c>
      <c r="AC104" s="271"/>
      <c r="AD104" s="271"/>
      <c r="AE104" s="271"/>
      <c r="AF104" s="271"/>
      <c r="AG104" s="271"/>
      <c r="AH104" s="271"/>
      <c r="AI104" s="271"/>
      <c r="AJ104" s="271"/>
      <c r="AK104" s="268" t="e">
        <f>V104/#REF!*(W104+Z104/8*2+AA104/8*1.5+AB104*3)+J104/#REF!*(X104+Y104)+AC104+P104+AE104+AG104+AH104+AI104+AJ104</f>
        <v>#REF!</v>
      </c>
      <c r="AL104" s="267">
        <f>AM104*$AN$3</f>
        <v>480.58499999999998</v>
      </c>
      <c r="AM104" s="414">
        <v>4577</v>
      </c>
      <c r="AN104" s="272" t="e">
        <f>VLOOKUP(B104,#REF!,75,0)</f>
        <v>#REF!</v>
      </c>
      <c r="AO104" s="436"/>
      <c r="AP104" s="442" t="e">
        <f>ROUND(AK104-AL104-AN104+AO104,-1)</f>
        <v>#REF!</v>
      </c>
    </row>
    <row r="105" spans="1:42" s="459" customFormat="1">
      <c r="A105" s="262"/>
      <c r="B105" s="482" t="s">
        <v>791</v>
      </c>
      <c r="C105" s="560" t="s">
        <v>793</v>
      </c>
      <c r="D105" s="483" t="s">
        <v>507</v>
      </c>
      <c r="E105" s="496">
        <v>42201</v>
      </c>
      <c r="F105" s="265">
        <v>2</v>
      </c>
      <c r="G105" s="266">
        <f>DATEDIF(E105,$J$3,"y")</f>
        <v>3</v>
      </c>
      <c r="H105" s="266">
        <f>DATEDIF(E105,$J$3,"ym")</f>
        <v>1</v>
      </c>
      <c r="I105" s="267">
        <f>DATEDIF(E105,$J$3,"md")</f>
        <v>9</v>
      </c>
      <c r="J105" s="267">
        <f>VLOOKUP(D105,'THANG B.LUONG'!$B$5:$I$513,F105+1,0)</f>
        <v>0</v>
      </c>
      <c r="K105" s="267">
        <v>200</v>
      </c>
      <c r="L105" s="267">
        <v>0</v>
      </c>
      <c r="M105" s="267">
        <f t="shared" ref="M105" si="104">IF(G105&gt;=3,J105*(0.03+(G105-3)*0.01),0)</f>
        <v>0</v>
      </c>
      <c r="N105" s="267">
        <v>0</v>
      </c>
      <c r="O105" s="267">
        <v>0</v>
      </c>
      <c r="P105" s="267">
        <v>0</v>
      </c>
      <c r="Q105" s="267">
        <v>0</v>
      </c>
      <c r="R105" s="267">
        <v>0</v>
      </c>
      <c r="S105" s="267">
        <v>0</v>
      </c>
      <c r="T105" s="267">
        <v>0</v>
      </c>
      <c r="U105" s="267">
        <v>0</v>
      </c>
      <c r="V105" s="268">
        <f>SUM(J105:U105)-P105</f>
        <v>200</v>
      </c>
      <c r="W105" s="269" t="e">
        <f>VLOOKUP(B105,#REF!,35,0)</f>
        <v>#REF!</v>
      </c>
      <c r="X105" s="267" t="e">
        <f>VLOOKUP(B105,#REF!,37,0)</f>
        <v>#REF!</v>
      </c>
      <c r="Y105" s="270" t="e">
        <f>VLOOKUP(B105,#REF!,38,0)</f>
        <v>#REF!</v>
      </c>
      <c r="Z105" s="267" t="e">
        <f>VLOOKUP(B105,#REF!,72,0)</f>
        <v>#REF!</v>
      </c>
      <c r="AA105" s="267" t="e">
        <f>VLOOKUP(B105,#REF!,71,0)</f>
        <v>#REF!</v>
      </c>
      <c r="AB105" s="267" t="e">
        <f>VLOOKUP(B105,#REF!,36,0)</f>
        <v>#REF!</v>
      </c>
      <c r="AC105" s="271"/>
      <c r="AD105" s="271"/>
      <c r="AE105" s="271"/>
      <c r="AF105" s="271"/>
      <c r="AG105" s="271"/>
      <c r="AH105" s="271"/>
      <c r="AI105" s="271"/>
      <c r="AJ105" s="271"/>
      <c r="AK105" s="268" t="e">
        <f>V105/#REF!*(W105+Z105/8*2+AA105/8*1.5+AB105*3)+J105/#REF!*(X105+Y105)+AC105+P105+AE105+AG105+AH105+AI105+AJ105</f>
        <v>#REF!</v>
      </c>
      <c r="AL105" s="267">
        <f>AM105*$AN$3</f>
        <v>480.58499999999998</v>
      </c>
      <c r="AM105" s="414">
        <v>4577</v>
      </c>
      <c r="AN105" s="272" t="e">
        <f>VLOOKUP(B105,#REF!,75,0)</f>
        <v>#REF!</v>
      </c>
      <c r="AO105" s="436"/>
      <c r="AP105" s="442" t="e">
        <f>ROUND(AK105-AL105-AN105+AO105,-1)</f>
        <v>#REF!</v>
      </c>
    </row>
    <row r="106" spans="1:42" s="459" customFormat="1">
      <c r="A106" s="276"/>
      <c r="B106" s="470"/>
      <c r="C106" s="277" t="s">
        <v>555</v>
      </c>
      <c r="D106" s="277"/>
      <c r="E106" s="494"/>
      <c r="F106" s="235"/>
      <c r="G106" s="235"/>
      <c r="H106" s="235"/>
      <c r="I106" s="235"/>
      <c r="J106" s="235"/>
      <c r="K106" s="235"/>
      <c r="L106" s="235"/>
      <c r="M106" s="235"/>
      <c r="N106" s="235"/>
      <c r="O106" s="235"/>
      <c r="P106" s="235"/>
      <c r="Q106" s="235"/>
      <c r="R106" s="235"/>
      <c r="S106" s="235"/>
      <c r="T106" s="235"/>
      <c r="U106" s="235"/>
      <c r="V106" s="235"/>
      <c r="W106" s="235"/>
      <c r="X106" s="235"/>
      <c r="Y106" s="235"/>
      <c r="Z106" s="235"/>
      <c r="AA106" s="235"/>
      <c r="AB106" s="235"/>
      <c r="AC106" s="235"/>
      <c r="AD106" s="235"/>
      <c r="AE106" s="235"/>
      <c r="AF106" s="235"/>
      <c r="AG106" s="235"/>
      <c r="AH106" s="235"/>
      <c r="AI106" s="235"/>
      <c r="AJ106" s="235"/>
      <c r="AK106" s="261" t="e">
        <f>SUM(AK107:AK110)</f>
        <v>#REF!</v>
      </c>
      <c r="AL106" s="261">
        <f t="shared" ref="AL106:AP106" si="105">SUM(AL107:AL110)</f>
        <v>1113</v>
      </c>
      <c r="AM106" s="261">
        <f t="shared" si="105"/>
        <v>10600</v>
      </c>
      <c r="AN106" s="261" t="e">
        <f t="shared" si="105"/>
        <v>#REF!</v>
      </c>
      <c r="AO106" s="261">
        <f t="shared" si="105"/>
        <v>0</v>
      </c>
      <c r="AP106" s="261" t="e">
        <f t="shared" si="105"/>
        <v>#REF!</v>
      </c>
    </row>
    <row r="107" spans="1:42" s="459" customFormat="1">
      <c r="A107" s="294"/>
      <c r="B107" s="482" t="s">
        <v>288</v>
      </c>
      <c r="C107" s="293" t="s">
        <v>289</v>
      </c>
      <c r="D107" s="280" t="str">
        <f>'THANG B.LUONG'!B78</f>
        <v>Trưởng phòng điều độ nhân lực</v>
      </c>
      <c r="E107" s="493">
        <v>38078</v>
      </c>
      <c r="F107" s="449">
        <v>2</v>
      </c>
      <c r="G107" s="266">
        <f>DATEDIF(E107,$J$3,"y")</f>
        <v>14</v>
      </c>
      <c r="H107" s="266">
        <f>DATEDIF(E107,$J$3,"ym")</f>
        <v>4</v>
      </c>
      <c r="I107" s="267">
        <f>DATEDIF(E107,$J$3,"md")</f>
        <v>24</v>
      </c>
      <c r="J107" s="267">
        <f>VLOOKUP(D107,'THANG B.LUONG'!$B$5:$I$513,F107+1,0)</f>
        <v>0</v>
      </c>
      <c r="K107" s="267">
        <v>0</v>
      </c>
      <c r="L107" s="267">
        <v>1000</v>
      </c>
      <c r="M107" s="267">
        <f>IF(G107&gt;=3,J107*(0.03+(G107-3)*0.01),0)</f>
        <v>0</v>
      </c>
      <c r="N107" s="267">
        <v>0</v>
      </c>
      <c r="O107" s="267">
        <v>500</v>
      </c>
      <c r="P107" s="267">
        <v>500</v>
      </c>
      <c r="Q107" s="267">
        <v>0</v>
      </c>
      <c r="R107" s="267">
        <v>0</v>
      </c>
      <c r="S107" s="267">
        <v>0</v>
      </c>
      <c r="T107" s="267">
        <v>0</v>
      </c>
      <c r="U107" s="267">
        <v>0</v>
      </c>
      <c r="V107" s="268">
        <f>SUM(J107:U107)-P107</f>
        <v>1500</v>
      </c>
      <c r="W107" s="269" t="e">
        <f>VLOOKUP(B107,#REF!,35,0)</f>
        <v>#REF!</v>
      </c>
      <c r="X107" s="267" t="e">
        <f>VLOOKUP(B107,#REF!,37,0)</f>
        <v>#REF!</v>
      </c>
      <c r="Y107" s="270" t="e">
        <f>VLOOKUP(B107,#REF!,38,0)</f>
        <v>#REF!</v>
      </c>
      <c r="Z107" s="267" t="e">
        <f>VLOOKUP(B107,#REF!,72,0)</f>
        <v>#REF!</v>
      </c>
      <c r="AA107" s="267" t="e">
        <f>VLOOKUP(B107,#REF!,71,0)</f>
        <v>#REF!</v>
      </c>
      <c r="AB107" s="267" t="e">
        <f>VLOOKUP(B107,#REF!,36,0)</f>
        <v>#REF!</v>
      </c>
      <c r="AC107" s="267"/>
      <c r="AD107" s="271"/>
      <c r="AE107" s="271"/>
      <c r="AF107" s="271"/>
      <c r="AG107" s="271"/>
      <c r="AH107" s="271"/>
      <c r="AI107" s="271"/>
      <c r="AJ107" s="271">
        <v>300</v>
      </c>
      <c r="AK107" s="268" t="e">
        <f>V107/#REF!*(W107+Z107/8*2+AA107/8*1.5+AB107*3)+J107/#REF!*(X107+Y107)+AC107+P107+AE107+AG107+AH107+AI107+AJ107</f>
        <v>#REF!</v>
      </c>
      <c r="AL107" s="267">
        <f>AM107*$AN$3</f>
        <v>577.5</v>
      </c>
      <c r="AM107" s="414">
        <v>5500</v>
      </c>
      <c r="AN107" s="272" t="e">
        <f>VLOOKUP(B107,#REF!,75,0)</f>
        <v>#REF!</v>
      </c>
      <c r="AO107" s="272"/>
      <c r="AP107" s="273" t="e">
        <f>ROUND(AK107-AL107-AN107+AO107,-1)</f>
        <v>#REF!</v>
      </c>
    </row>
    <row r="108" spans="1:42" s="523" customFormat="1">
      <c r="A108" s="534"/>
      <c r="B108" s="535" t="s">
        <v>775</v>
      </c>
      <c r="C108" s="536" t="s">
        <v>776</v>
      </c>
      <c r="D108" s="510" t="str">
        <f>'THANG B.LUONG'!B167</f>
        <v>NV giám sát bảo vệ</v>
      </c>
      <c r="E108" s="512">
        <v>43304</v>
      </c>
      <c r="F108" s="537">
        <v>6</v>
      </c>
      <c r="G108" s="514">
        <f>DATEDIF(E108,$J$3,"y")</f>
        <v>0</v>
      </c>
      <c r="H108" s="514">
        <f>DATEDIF(E108,$J$3,"ym")</f>
        <v>1</v>
      </c>
      <c r="I108" s="515">
        <f>DATEDIF(E108,$J$3,"md")</f>
        <v>2</v>
      </c>
      <c r="J108" s="515">
        <f>VLOOKUP(D108,'THANG B.LUONG'!$B$5:$I$513,F108+1,0)</f>
        <v>0</v>
      </c>
      <c r="K108" s="515">
        <v>0</v>
      </c>
      <c r="L108" s="515">
        <v>500</v>
      </c>
      <c r="M108" s="515">
        <f>IF(G108&gt;=3,J108*(0.03+(G108-3)*0.01),0)</f>
        <v>0</v>
      </c>
      <c r="N108" s="515">
        <v>0</v>
      </c>
      <c r="O108" s="515">
        <v>200</v>
      </c>
      <c r="P108" s="515">
        <v>300</v>
      </c>
      <c r="Q108" s="515">
        <v>0</v>
      </c>
      <c r="R108" s="515">
        <v>0</v>
      </c>
      <c r="S108" s="515">
        <v>0</v>
      </c>
      <c r="T108" s="515">
        <v>0</v>
      </c>
      <c r="U108" s="515">
        <v>0</v>
      </c>
      <c r="V108" s="268">
        <f>(SUM(J108:U108)-P108)*0.85</f>
        <v>595</v>
      </c>
      <c r="W108" s="517" t="e">
        <f>VLOOKUP(B108,#REF!,35,0)</f>
        <v>#REF!</v>
      </c>
      <c r="X108" s="515" t="e">
        <f>VLOOKUP(B108,#REF!,37,0)</f>
        <v>#REF!</v>
      </c>
      <c r="Y108" s="518" t="e">
        <f>VLOOKUP(B108,#REF!,38,0)</f>
        <v>#REF!</v>
      </c>
      <c r="Z108" s="515" t="e">
        <f>VLOOKUP(B108,#REF!,72,0)</f>
        <v>#REF!</v>
      </c>
      <c r="AA108" s="515" t="e">
        <f>VLOOKUP(B108,#REF!,71,0)</f>
        <v>#REF!</v>
      </c>
      <c r="AB108" s="515" t="e">
        <f>VLOOKUP(B108,#REF!,36,0)</f>
        <v>#REF!</v>
      </c>
      <c r="AC108" s="515"/>
      <c r="AD108" s="519"/>
      <c r="AE108" s="519"/>
      <c r="AF108" s="519"/>
      <c r="AG108" s="519"/>
      <c r="AH108" s="519"/>
      <c r="AI108" s="519"/>
      <c r="AJ108" s="519">
        <v>0</v>
      </c>
      <c r="AK108" s="516" t="e">
        <f>V108/#REF!*(W108+Z108/8*2+AA108/8*1.5+AB108*3)+J108/#REF!*(X108+Y108)+AC108+P108+AE108+AG108+AH108+AI108+AJ108</f>
        <v>#REF!</v>
      </c>
      <c r="AL108" s="515">
        <f>AM108*$AN$3</f>
        <v>0</v>
      </c>
      <c r="AM108" s="529">
        <v>0</v>
      </c>
      <c r="AN108" s="520" t="e">
        <f>VLOOKUP(B108,#REF!,75,0)</f>
        <v>#REF!</v>
      </c>
      <c r="AO108" s="520"/>
      <c r="AP108" s="521" t="e">
        <f>ROUND(AK108-AL108-AN108+AO108,-1)</f>
        <v>#REF!</v>
      </c>
    </row>
    <row r="109" spans="1:42" s="459" customFormat="1" ht="13.5" customHeight="1">
      <c r="A109" s="325"/>
      <c r="B109" s="471" t="s">
        <v>264</v>
      </c>
      <c r="C109" s="315" t="s">
        <v>265</v>
      </c>
      <c r="D109" s="326" t="s">
        <v>266</v>
      </c>
      <c r="E109" s="495">
        <v>41715</v>
      </c>
      <c r="F109" s="327">
        <v>1</v>
      </c>
      <c r="G109" s="326">
        <f>DATEDIF(E109,$J$3,"y")</f>
        <v>4</v>
      </c>
      <c r="H109" s="326">
        <f>DATEDIF(E109,$J$3,"ym")</f>
        <v>5</v>
      </c>
      <c r="I109" s="321">
        <f>DATEDIF(E109,$J$3,"md")</f>
        <v>8</v>
      </c>
      <c r="J109" s="321">
        <f>VLOOKUP(D109,'THANG B.LUONG'!$B$5:$I$513,F109+1,0)</f>
        <v>0</v>
      </c>
      <c r="K109" s="321">
        <v>0</v>
      </c>
      <c r="L109" s="321">
        <v>500</v>
      </c>
      <c r="M109" s="321">
        <f>IF(G109&gt;=3,J109*(0.03+(G109-3)*0.01),0)</f>
        <v>0</v>
      </c>
      <c r="N109" s="321">
        <v>0</v>
      </c>
      <c r="O109" s="321">
        <v>200</v>
      </c>
      <c r="P109" s="321">
        <v>300</v>
      </c>
      <c r="Q109" s="321">
        <v>0</v>
      </c>
      <c r="R109" s="321">
        <v>0</v>
      </c>
      <c r="S109" s="321">
        <v>0</v>
      </c>
      <c r="T109" s="321">
        <v>0</v>
      </c>
      <c r="U109" s="321">
        <v>2000</v>
      </c>
      <c r="V109" s="328">
        <f>SUM(J109:U109)-P109</f>
        <v>2700</v>
      </c>
      <c r="W109" s="329" t="e">
        <f>VLOOKUP(B109,#REF!,35,0)</f>
        <v>#REF!</v>
      </c>
      <c r="X109" s="321" t="e">
        <f>VLOOKUP(B109,#REF!,37,0)</f>
        <v>#REF!</v>
      </c>
      <c r="Y109" s="321" t="e">
        <f>VLOOKUP(B109,#REF!,38,0)</f>
        <v>#REF!</v>
      </c>
      <c r="Z109" s="321" t="e">
        <f>VLOOKUP(B109,#REF!,72,0)</f>
        <v>#REF!</v>
      </c>
      <c r="AA109" s="321" t="e">
        <f>VLOOKUP(B109,#REF!,71,0)</f>
        <v>#REF!</v>
      </c>
      <c r="AB109" s="321" t="e">
        <f>VLOOKUP(B109,#REF!,36,0)</f>
        <v>#REF!</v>
      </c>
      <c r="AC109" s="321"/>
      <c r="AD109" s="321"/>
      <c r="AE109" s="321"/>
      <c r="AF109" s="321"/>
      <c r="AG109" s="321"/>
      <c r="AH109" s="321"/>
      <c r="AI109" s="321"/>
      <c r="AJ109" s="321"/>
      <c r="AK109" s="328" t="e">
        <f>V109/#REF!*(W109+Z109/8*2+AA109/8*1.5+AB109*3)+J109/#REF!*(X109+Y109)+AC109+P109+AE109+AG109+AH109+AI109+AJ109</f>
        <v>#REF!</v>
      </c>
      <c r="AL109" s="321">
        <f>AM109*$AN$3</f>
        <v>535.5</v>
      </c>
      <c r="AM109" s="321">
        <v>5100</v>
      </c>
      <c r="AN109" s="447" t="e">
        <f>VLOOKUP(B109,#REF!,75,0)</f>
        <v>#REF!</v>
      </c>
      <c r="AO109" s="330"/>
      <c r="AP109" s="331" t="e">
        <f>ROUND(AK109-AL109-AN109+AO109,-1)</f>
        <v>#REF!</v>
      </c>
    </row>
    <row r="110" spans="1:42" s="459" customFormat="1" ht="13.5" customHeight="1">
      <c r="A110" s="262"/>
      <c r="B110" s="391" t="s">
        <v>306</v>
      </c>
      <c r="C110" s="232" t="s">
        <v>307</v>
      </c>
      <c r="D110" s="280" t="str">
        <f>'THANG B.LUONG'!B168</f>
        <v>Tổ trưởng cây xanh vệ sinh công nghiệp</v>
      </c>
      <c r="E110" s="493">
        <v>42969</v>
      </c>
      <c r="F110" s="466">
        <v>1</v>
      </c>
      <c r="G110" s="280">
        <f>DATEDIF(E110,$J$3,"y")</f>
        <v>1</v>
      </c>
      <c r="H110" s="280">
        <f>DATEDIF(E110,$J$3,"ym")</f>
        <v>0</v>
      </c>
      <c r="I110" s="271">
        <f>DATEDIF(E110,$J$3,"md")</f>
        <v>3</v>
      </c>
      <c r="J110" s="271">
        <f>VLOOKUP(D110,'THANG B.LUONG'!$B$5:$I$513,F110+1,0)</f>
        <v>0</v>
      </c>
      <c r="K110" s="271">
        <v>0</v>
      </c>
      <c r="L110" s="271">
        <v>500</v>
      </c>
      <c r="M110" s="271">
        <f>IF(G110&gt;=3,J110*(0.03+(G110-3)*0.01),0)</f>
        <v>0</v>
      </c>
      <c r="N110" s="271">
        <v>0</v>
      </c>
      <c r="O110" s="271">
        <v>200</v>
      </c>
      <c r="P110" s="271">
        <v>300</v>
      </c>
      <c r="Q110" s="271">
        <v>0</v>
      </c>
      <c r="R110" s="271">
        <v>0</v>
      </c>
      <c r="S110" s="271">
        <v>0</v>
      </c>
      <c r="T110" s="271">
        <v>0</v>
      </c>
      <c r="U110" s="271"/>
      <c r="V110" s="268">
        <f>SUM(J110:U110)-P110</f>
        <v>700</v>
      </c>
      <c r="W110" s="269" t="e">
        <f>VLOOKUP(B110,#REF!,35,0)</f>
        <v>#REF!</v>
      </c>
      <c r="X110" s="271" t="e">
        <f>VLOOKUP(B110,#REF!,37,0)</f>
        <v>#REF!</v>
      </c>
      <c r="Y110" s="271" t="e">
        <f>VLOOKUP(B110,#REF!,38,0)</f>
        <v>#REF!</v>
      </c>
      <c r="Z110" s="271" t="e">
        <f>VLOOKUP(B110,#REF!,72,0)</f>
        <v>#REF!</v>
      </c>
      <c r="AA110" s="271" t="e">
        <f>VLOOKUP(B110,#REF!,71,0)</f>
        <v>#REF!</v>
      </c>
      <c r="AB110" s="271" t="e">
        <f>VLOOKUP(B110,#REF!,36,0)</f>
        <v>#REF!</v>
      </c>
      <c r="AC110" s="271"/>
      <c r="AD110" s="271"/>
      <c r="AE110" s="271"/>
      <c r="AF110" s="271"/>
      <c r="AG110" s="271"/>
      <c r="AH110" s="271"/>
      <c r="AI110" s="271"/>
      <c r="AJ110" s="271">
        <v>300</v>
      </c>
      <c r="AK110" s="268" t="e">
        <f>V110/#REF!*(W110+Z110/8*2+AA110/8*1.5+AB110*3)+J110/#REF!*(X110+Y110)+AC110+P110+AE110+AG110+AH110+AI110+AJ110</f>
        <v>#REF!</v>
      </c>
      <c r="AL110" s="271">
        <f>AM110*$AN$3</f>
        <v>0</v>
      </c>
      <c r="AM110" s="271">
        <v>0</v>
      </c>
      <c r="AN110" s="272" t="e">
        <f>VLOOKUP(B110,#REF!,75,0)</f>
        <v>#REF!</v>
      </c>
      <c r="AO110" s="387"/>
      <c r="AP110" s="487" t="e">
        <f>ROUND(AK110-AL110-AN110+AO110,-1)</f>
        <v>#REF!</v>
      </c>
    </row>
    <row r="111" spans="1:42" s="457" customFormat="1" ht="9.75" customHeight="1">
      <c r="A111" s="276"/>
      <c r="B111" s="470"/>
      <c r="C111" s="277" t="s">
        <v>735</v>
      </c>
      <c r="D111" s="277"/>
      <c r="E111" s="494"/>
      <c r="F111" s="235"/>
      <c r="G111" s="235"/>
      <c r="H111" s="235"/>
      <c r="I111" s="235"/>
      <c r="J111" s="235"/>
      <c r="K111" s="235"/>
      <c r="L111" s="235"/>
      <c r="M111" s="235"/>
      <c r="N111" s="235"/>
      <c r="O111" s="235"/>
      <c r="P111" s="235"/>
      <c r="Q111" s="235"/>
      <c r="R111" s="235"/>
      <c r="S111" s="235"/>
      <c r="T111" s="235"/>
      <c r="U111" s="235"/>
      <c r="V111" s="235"/>
      <c r="W111" s="235"/>
      <c r="X111" s="235"/>
      <c r="Y111" s="235"/>
      <c r="Z111" s="235"/>
      <c r="AA111" s="235"/>
      <c r="AB111" s="235"/>
      <c r="AC111" s="235"/>
      <c r="AD111" s="235"/>
      <c r="AE111" s="235"/>
      <c r="AF111" s="235"/>
      <c r="AG111" s="235"/>
      <c r="AH111" s="235"/>
      <c r="AI111" s="235"/>
      <c r="AJ111" s="235"/>
      <c r="AK111" s="261" t="e">
        <f>SUM(AK112:AK118)</f>
        <v>#REF!</v>
      </c>
      <c r="AL111" s="261">
        <f t="shared" ref="AL111:AP111" si="106">SUM(AL112:AL118)</f>
        <v>1617</v>
      </c>
      <c r="AM111" s="261">
        <f t="shared" si="106"/>
        <v>15400</v>
      </c>
      <c r="AN111" s="261" t="e">
        <f t="shared" si="106"/>
        <v>#REF!</v>
      </c>
      <c r="AO111" s="261">
        <f t="shared" si="106"/>
        <v>0</v>
      </c>
      <c r="AP111" s="261" t="e">
        <f t="shared" si="106"/>
        <v>#REF!</v>
      </c>
    </row>
    <row r="112" spans="1:42" s="457" customFormat="1">
      <c r="A112" s="262"/>
      <c r="B112" s="391" t="s">
        <v>607</v>
      </c>
      <c r="C112" s="232" t="s">
        <v>604</v>
      </c>
      <c r="D112" s="280" t="str">
        <f>'THANG B.LUONG'!B84</f>
        <v>Trưởng BP kế hoạch &amp; thống kê</v>
      </c>
      <c r="E112" s="493">
        <v>43132</v>
      </c>
      <c r="F112" s="265">
        <v>4</v>
      </c>
      <c r="G112" s="266">
        <f t="shared" ref="G112:G117" si="107">DATEDIF(E112,$J$3,"y")</f>
        <v>0</v>
      </c>
      <c r="H112" s="266">
        <f t="shared" ref="H112:H117" si="108">DATEDIF(E112,$J$3,"ym")</f>
        <v>6</v>
      </c>
      <c r="I112" s="267">
        <f t="shared" ref="I112:I117" si="109">DATEDIF(E112,$J$3,"md")</f>
        <v>24</v>
      </c>
      <c r="J112" s="267">
        <f>VLOOKUP(D112,'THANG B.LUONG'!$B$5:$I$513,F112+1,0)</f>
        <v>0</v>
      </c>
      <c r="K112" s="267">
        <v>0</v>
      </c>
      <c r="L112" s="267">
        <v>1000</v>
      </c>
      <c r="M112" s="267">
        <f t="shared" ref="M112:M117" si="110">IF(G112&gt;=3,J112*(0.03+(G112-3)*0.01),0)</f>
        <v>0</v>
      </c>
      <c r="N112" s="267">
        <v>0</v>
      </c>
      <c r="O112" s="267">
        <v>500</v>
      </c>
      <c r="P112" s="267">
        <v>500</v>
      </c>
      <c r="Q112" s="267">
        <v>0</v>
      </c>
      <c r="R112" s="267">
        <v>0</v>
      </c>
      <c r="S112" s="267">
        <v>0</v>
      </c>
      <c r="T112" s="267">
        <v>0</v>
      </c>
      <c r="U112" s="267">
        <v>0</v>
      </c>
      <c r="V112" s="268">
        <f t="shared" ref="V112:V115" si="111">SUM(J112:U112)-P112</f>
        <v>1500</v>
      </c>
      <c r="W112" s="269" t="e">
        <f>VLOOKUP(B112,#REF!,35,0)</f>
        <v>#REF!</v>
      </c>
      <c r="X112" s="267" t="e">
        <f>VLOOKUP(B112,#REF!,37,0)</f>
        <v>#REF!</v>
      </c>
      <c r="Y112" s="437" t="e">
        <f>VLOOKUP(B112,#REF!,38,0)</f>
        <v>#REF!</v>
      </c>
      <c r="Z112" s="267" t="e">
        <f>VLOOKUP(B112,#REF!,72,0)</f>
        <v>#REF!</v>
      </c>
      <c r="AA112" s="267" t="e">
        <f>VLOOKUP(B112,#REF!,71,0)</f>
        <v>#REF!</v>
      </c>
      <c r="AB112" s="267" t="e">
        <f>VLOOKUP(B112,#REF!,36,0)</f>
        <v>#REF!</v>
      </c>
      <c r="AC112" s="267"/>
      <c r="AD112" s="271"/>
      <c r="AE112" s="271"/>
      <c r="AF112" s="271"/>
      <c r="AG112" s="271"/>
      <c r="AH112" s="271"/>
      <c r="AI112" s="271"/>
      <c r="AJ112" s="400"/>
      <c r="AK112" s="268" t="e">
        <f>V112/#REF!*(W112+Z112/8*2+AA112/8*1.5+AB112*3)+J112/#REF!*(X112+Y112)+AC112+P112+AE112+AG112+AH112+AI112+AJ112</f>
        <v>#REF!</v>
      </c>
      <c r="AL112" s="267">
        <f t="shared" ref="AL112:AL117" si="112">AM112*$AN$3</f>
        <v>577.5</v>
      </c>
      <c r="AM112" s="414">
        <v>5500</v>
      </c>
      <c r="AN112" s="272" t="e">
        <f>VLOOKUP(B112,#REF!,75,0)</f>
        <v>#REF!</v>
      </c>
      <c r="AO112" s="272"/>
      <c r="AP112" s="273" t="e">
        <f t="shared" ref="AP112:AP117" si="113">ROUND(AK112-AL112-AN112+AO112,-1)</f>
        <v>#REF!</v>
      </c>
    </row>
    <row r="113" spans="1:42" s="457" customFormat="1">
      <c r="A113" s="262"/>
      <c r="B113" s="391" t="s">
        <v>730</v>
      </c>
      <c r="C113" s="232" t="s">
        <v>404</v>
      </c>
      <c r="D113" s="280" t="str">
        <f>'THANG B.LUONG'!B85</f>
        <v>Tổ trưởng điều độ sản xuất</v>
      </c>
      <c r="E113" s="493">
        <v>42339</v>
      </c>
      <c r="F113" s="265">
        <v>1</v>
      </c>
      <c r="G113" s="266">
        <f t="shared" si="107"/>
        <v>2</v>
      </c>
      <c r="H113" s="266">
        <f t="shared" si="108"/>
        <v>8</v>
      </c>
      <c r="I113" s="267">
        <f t="shared" si="109"/>
        <v>24</v>
      </c>
      <c r="J113" s="267">
        <f>VLOOKUP(D113,'THANG B.LUONG'!$B$5:$I$513,F113+1,0)</f>
        <v>0</v>
      </c>
      <c r="K113" s="267">
        <v>0</v>
      </c>
      <c r="L113" s="267">
        <v>500</v>
      </c>
      <c r="M113" s="267">
        <f t="shared" si="110"/>
        <v>0</v>
      </c>
      <c r="N113" s="267">
        <v>0</v>
      </c>
      <c r="O113" s="267">
        <v>200</v>
      </c>
      <c r="P113" s="267">
        <v>300</v>
      </c>
      <c r="Q113" s="267">
        <v>0</v>
      </c>
      <c r="R113" s="267">
        <v>0</v>
      </c>
      <c r="S113" s="267">
        <v>0</v>
      </c>
      <c r="T113" s="267">
        <v>0</v>
      </c>
      <c r="U113" s="267">
        <v>0</v>
      </c>
      <c r="V113" s="268">
        <f t="shared" si="111"/>
        <v>700</v>
      </c>
      <c r="W113" s="269" t="e">
        <f>VLOOKUP(B113,#REF!,35,0)</f>
        <v>#REF!</v>
      </c>
      <c r="X113" s="267" t="e">
        <f>VLOOKUP(B113,#REF!,37,0)</f>
        <v>#REF!</v>
      </c>
      <c r="Y113" s="270" t="e">
        <f>VLOOKUP(B113,#REF!,38,0)</f>
        <v>#REF!</v>
      </c>
      <c r="Z113" s="267" t="e">
        <f>VLOOKUP(B113,#REF!,72,0)</f>
        <v>#REF!</v>
      </c>
      <c r="AA113" s="267" t="e">
        <f>VLOOKUP(B113,#REF!,71,0)</f>
        <v>#REF!</v>
      </c>
      <c r="AB113" s="267" t="e">
        <f>VLOOKUP(B113,#REF!,36,0)</f>
        <v>#REF!</v>
      </c>
      <c r="AC113" s="267"/>
      <c r="AD113" s="271"/>
      <c r="AE113" s="271"/>
      <c r="AF113" s="271"/>
      <c r="AG113" s="271"/>
      <c r="AH113" s="271"/>
      <c r="AI113" s="271"/>
      <c r="AJ113" s="271">
        <v>300</v>
      </c>
      <c r="AK113" s="268" t="e">
        <f>V113/#REF!*(W113+Z113/8*2+AA113/8*1.5+AB113*3)+J113/#REF!*(X113+Y113)+AC113+P113+AE113+AG113+AH113+AI113+AJ113</f>
        <v>#REF!</v>
      </c>
      <c r="AL113" s="267">
        <f t="shared" si="112"/>
        <v>535.5</v>
      </c>
      <c r="AM113" s="414">
        <v>5100</v>
      </c>
      <c r="AN113" s="272" t="e">
        <f>VLOOKUP(B113,#REF!,75,0)</f>
        <v>#REF!</v>
      </c>
      <c r="AO113" s="272"/>
      <c r="AP113" s="273" t="e">
        <f t="shared" si="113"/>
        <v>#REF!</v>
      </c>
    </row>
    <row r="114" spans="1:42" s="531" customFormat="1">
      <c r="A114" s="509"/>
      <c r="B114" s="511" t="s">
        <v>782</v>
      </c>
      <c r="C114" s="525" t="s">
        <v>783</v>
      </c>
      <c r="D114" s="510" t="str">
        <f>'THANG B.LUONG'!B88</f>
        <v>Tổ trưởng thống kê SX</v>
      </c>
      <c r="E114" s="512">
        <v>43277</v>
      </c>
      <c r="F114" s="527">
        <v>2</v>
      </c>
      <c r="G114" s="514">
        <f t="shared" ref="G114" si="114">DATEDIF(E114,$J$3,"y")</f>
        <v>0</v>
      </c>
      <c r="H114" s="514">
        <f t="shared" ref="H114" si="115">DATEDIF(E114,$J$3,"ym")</f>
        <v>1</v>
      </c>
      <c r="I114" s="515">
        <f t="shared" ref="I114" si="116">DATEDIF(E114,$J$3,"md")</f>
        <v>30</v>
      </c>
      <c r="J114" s="515">
        <f>VLOOKUP(D114,'THANG B.LUONG'!$B$5:$I$513,F114+1,0)</f>
        <v>0</v>
      </c>
      <c r="K114" s="515">
        <v>0</v>
      </c>
      <c r="L114" s="515">
        <v>500</v>
      </c>
      <c r="M114" s="515">
        <f t="shared" ref="M114" si="117">IF(G114&gt;=3,J114*(0.03+(G114-3)*0.01),0)</f>
        <v>0</v>
      </c>
      <c r="N114" s="515">
        <v>0</v>
      </c>
      <c r="O114" s="515">
        <v>200</v>
      </c>
      <c r="P114" s="515">
        <v>300</v>
      </c>
      <c r="Q114" s="515">
        <v>0</v>
      </c>
      <c r="R114" s="515">
        <v>0</v>
      </c>
      <c r="S114" s="515">
        <v>0</v>
      </c>
      <c r="T114" s="515">
        <v>0</v>
      </c>
      <c r="U114" s="515">
        <v>0</v>
      </c>
      <c r="V114" s="516">
        <f>(SUM(J114:U114)-P114)*0.85</f>
        <v>595</v>
      </c>
      <c r="W114" s="517" t="e">
        <f>VLOOKUP(B114,#REF!,35,0)</f>
        <v>#REF!</v>
      </c>
      <c r="X114" s="267" t="e">
        <f>VLOOKUP(B114,#REF!,37,0)</f>
        <v>#REF!</v>
      </c>
      <c r="Y114" s="518" t="e">
        <f>VLOOKUP(B114,#REF!,38,0)</f>
        <v>#REF!</v>
      </c>
      <c r="Z114" s="515" t="e">
        <f>VLOOKUP(B114,#REF!,72,0)</f>
        <v>#REF!</v>
      </c>
      <c r="AA114" s="515" t="e">
        <f>VLOOKUP(B114,#REF!,71,0)</f>
        <v>#REF!</v>
      </c>
      <c r="AB114" s="515" t="e">
        <f>VLOOKUP(B114,#REF!,36,0)</f>
        <v>#REF!</v>
      </c>
      <c r="AC114" s="515"/>
      <c r="AD114" s="519"/>
      <c r="AE114" s="519"/>
      <c r="AF114" s="519"/>
      <c r="AG114" s="519"/>
      <c r="AH114" s="519"/>
      <c r="AI114" s="519"/>
      <c r="AJ114" s="519"/>
      <c r="AK114" s="516" t="e">
        <f>V114/#REF!*(W114+Z114/8*2+AA114/8*1.5+AB114*3)+J114/#REF!*(X114+Y114)+AC114+P114+AE114+AG114+AH114+AI114+AJ114</f>
        <v>#REF!</v>
      </c>
      <c r="AL114" s="515">
        <f t="shared" si="112"/>
        <v>0</v>
      </c>
      <c r="AM114" s="529">
        <v>0</v>
      </c>
      <c r="AN114" s="520" t="e">
        <f>VLOOKUP(B114,#REF!,75,0)</f>
        <v>#REF!</v>
      </c>
      <c r="AO114" s="520"/>
      <c r="AP114" s="521" t="e">
        <f t="shared" ref="AP114" si="118">ROUND(AK114-AL114-AN114+AO114,-1)</f>
        <v>#REF!</v>
      </c>
    </row>
    <row r="115" spans="1:42" s="459" customFormat="1">
      <c r="A115" s="262"/>
      <c r="B115" s="391" t="s">
        <v>731</v>
      </c>
      <c r="C115" s="292" t="s">
        <v>308</v>
      </c>
      <c r="D115" s="280" t="str">
        <f>'THANG B.LUONG'!B89</f>
        <v xml:space="preserve">NV thống kê ĐS - PB nguyên liệu </v>
      </c>
      <c r="E115" s="493">
        <v>42788</v>
      </c>
      <c r="F115" s="265">
        <v>1</v>
      </c>
      <c r="G115" s="266">
        <f t="shared" si="107"/>
        <v>1</v>
      </c>
      <c r="H115" s="266">
        <f t="shared" si="108"/>
        <v>6</v>
      </c>
      <c r="I115" s="267">
        <f t="shared" si="109"/>
        <v>3</v>
      </c>
      <c r="J115" s="267">
        <f>VLOOKUP(D115,'THANG B.LUONG'!$B$5:$I$513,F115+1,0)</f>
        <v>0</v>
      </c>
      <c r="K115" s="267">
        <v>0</v>
      </c>
      <c r="L115" s="267">
        <v>0</v>
      </c>
      <c r="M115" s="267">
        <f t="shared" si="110"/>
        <v>0</v>
      </c>
      <c r="N115" s="267">
        <v>0</v>
      </c>
      <c r="O115" s="267">
        <v>0</v>
      </c>
      <c r="P115" s="267">
        <v>0</v>
      </c>
      <c r="Q115" s="267">
        <v>0</v>
      </c>
      <c r="R115" s="267">
        <v>0</v>
      </c>
      <c r="S115" s="267">
        <v>0</v>
      </c>
      <c r="T115" s="267">
        <v>0</v>
      </c>
      <c r="U115" s="267">
        <v>0</v>
      </c>
      <c r="V115" s="268">
        <f t="shared" si="111"/>
        <v>0</v>
      </c>
      <c r="W115" s="269" t="e">
        <f>VLOOKUP(B115,#REF!,35,0)</f>
        <v>#REF!</v>
      </c>
      <c r="X115" s="267" t="e">
        <f>VLOOKUP(B115,#REF!,37,0)</f>
        <v>#REF!</v>
      </c>
      <c r="Y115" s="270" t="e">
        <f>VLOOKUP(B115,#REF!,38,0)</f>
        <v>#REF!</v>
      </c>
      <c r="Z115" s="267" t="e">
        <f>VLOOKUP(B115,#REF!,72,0)</f>
        <v>#REF!</v>
      </c>
      <c r="AA115" s="267" t="e">
        <f>VLOOKUP(B115,#REF!,71,0)</f>
        <v>#REF!</v>
      </c>
      <c r="AB115" s="267" t="e">
        <f>VLOOKUP(B115,#REF!,36,0)</f>
        <v>#REF!</v>
      </c>
      <c r="AC115" s="267"/>
      <c r="AD115" s="271"/>
      <c r="AE115" s="271"/>
      <c r="AF115" s="271"/>
      <c r="AG115" s="271"/>
      <c r="AH115" s="271"/>
      <c r="AI115" s="271"/>
      <c r="AJ115" s="271"/>
      <c r="AK115" s="268" t="e">
        <f>V115/#REF!*(W115+Z115/8*2+AA115/8*1.5+AB115*3)+J115/#REF!*(X115+Y115)+AC115+P115+AE115+AG115+AH115+AI115+AJ115</f>
        <v>#REF!</v>
      </c>
      <c r="AL115" s="267">
        <f t="shared" si="112"/>
        <v>504</v>
      </c>
      <c r="AM115" s="504">
        <v>4800</v>
      </c>
      <c r="AN115" s="272" t="e">
        <f>VLOOKUP(B115,#REF!,75,0)</f>
        <v>#REF!</v>
      </c>
      <c r="AO115" s="272"/>
      <c r="AP115" s="273" t="e">
        <f t="shared" si="113"/>
        <v>#REF!</v>
      </c>
    </row>
    <row r="116" spans="1:42" s="523" customFormat="1">
      <c r="A116" s="509"/>
      <c r="B116" s="511" t="s">
        <v>732</v>
      </c>
      <c r="C116" s="532" t="s">
        <v>774</v>
      </c>
      <c r="D116" s="510" t="str">
        <f>'THANG B.LUONG'!B89</f>
        <v xml:space="preserve">NV thống kê ĐS - PB nguyên liệu </v>
      </c>
      <c r="E116" s="512">
        <v>43277</v>
      </c>
      <c r="F116" s="527">
        <v>1</v>
      </c>
      <c r="G116" s="514">
        <f t="shared" si="107"/>
        <v>0</v>
      </c>
      <c r="H116" s="514">
        <f t="shared" si="108"/>
        <v>1</v>
      </c>
      <c r="I116" s="515">
        <f t="shared" si="109"/>
        <v>30</v>
      </c>
      <c r="J116" s="515">
        <f>VLOOKUP(D116,'THANG B.LUONG'!$B$5:$I$513,F116+1,0)</f>
        <v>0</v>
      </c>
      <c r="K116" s="515">
        <v>0</v>
      </c>
      <c r="L116" s="515">
        <v>0</v>
      </c>
      <c r="M116" s="515">
        <f t="shared" si="110"/>
        <v>0</v>
      </c>
      <c r="N116" s="515">
        <v>0</v>
      </c>
      <c r="O116" s="515">
        <v>0</v>
      </c>
      <c r="P116" s="515">
        <v>0</v>
      </c>
      <c r="Q116" s="515">
        <v>0</v>
      </c>
      <c r="R116" s="515">
        <v>0</v>
      </c>
      <c r="S116" s="515">
        <v>0</v>
      </c>
      <c r="T116" s="515">
        <v>0</v>
      </c>
      <c r="U116" s="515">
        <v>0</v>
      </c>
      <c r="V116" s="516">
        <f>(SUM(J116:U116)-P116)*0.85</f>
        <v>0</v>
      </c>
      <c r="W116" s="269" t="e">
        <f>VLOOKUP(B116,#REF!,35,0)</f>
        <v>#REF!</v>
      </c>
      <c r="X116" s="267" t="e">
        <f>VLOOKUP(B116,#REF!,37,0)</f>
        <v>#REF!</v>
      </c>
      <c r="Y116" s="518" t="e">
        <f>VLOOKUP(B116,#REF!,38,0)</f>
        <v>#REF!</v>
      </c>
      <c r="Z116" s="515" t="e">
        <f>VLOOKUP(B116,#REF!,72,0)</f>
        <v>#REF!</v>
      </c>
      <c r="AA116" s="515" t="e">
        <f>VLOOKUP(B116,#REF!,71,0)</f>
        <v>#REF!</v>
      </c>
      <c r="AB116" s="515" t="e">
        <f>VLOOKUP(B116,#REF!,36,0)</f>
        <v>#REF!</v>
      </c>
      <c r="AC116" s="515"/>
      <c r="AD116" s="519"/>
      <c r="AE116" s="519"/>
      <c r="AF116" s="519"/>
      <c r="AG116" s="519"/>
      <c r="AH116" s="519"/>
      <c r="AI116" s="519"/>
      <c r="AJ116" s="519"/>
      <c r="AK116" s="516" t="e">
        <f>V116/#REF!*(W116+Z116/8*2+AA116/8*1.5+AB116*3)+J116/#REF!*(X116+Y116)+AC116+P116+AE116+AG116+AH116+AI116+AJ116</f>
        <v>#REF!</v>
      </c>
      <c r="AL116" s="515">
        <f t="shared" si="112"/>
        <v>0</v>
      </c>
      <c r="AM116" s="519">
        <v>0</v>
      </c>
      <c r="AN116" s="520" t="e">
        <f>VLOOKUP(B116,#REF!,75,0)</f>
        <v>#REF!</v>
      </c>
      <c r="AO116" s="520"/>
      <c r="AP116" s="521" t="e">
        <f t="shared" si="113"/>
        <v>#REF!</v>
      </c>
    </row>
    <row r="117" spans="1:42" s="523" customFormat="1">
      <c r="A117" s="509"/>
      <c r="B117" s="511" t="s">
        <v>759</v>
      </c>
      <c r="C117" s="532" t="s">
        <v>760</v>
      </c>
      <c r="D117" s="510" t="str">
        <f>'THANG B.LUONG'!B129</f>
        <v xml:space="preserve">NV thống kê ĐS - PB nguyên liệu </v>
      </c>
      <c r="E117" s="512">
        <v>43252</v>
      </c>
      <c r="F117" s="527">
        <v>2</v>
      </c>
      <c r="G117" s="514">
        <f t="shared" si="107"/>
        <v>0</v>
      </c>
      <c r="H117" s="514">
        <f t="shared" si="108"/>
        <v>2</v>
      </c>
      <c r="I117" s="515">
        <f t="shared" si="109"/>
        <v>24</v>
      </c>
      <c r="J117" s="515">
        <f>VLOOKUP(D117,'THANG B.LUONG'!$B$5:$I$513,F117+1,0)</f>
        <v>0</v>
      </c>
      <c r="K117" s="515">
        <v>0</v>
      </c>
      <c r="L117" s="515">
        <v>0</v>
      </c>
      <c r="M117" s="515">
        <f t="shared" si="110"/>
        <v>0</v>
      </c>
      <c r="N117" s="515">
        <v>0</v>
      </c>
      <c r="O117" s="515">
        <v>0</v>
      </c>
      <c r="P117" s="515">
        <v>0</v>
      </c>
      <c r="Q117" s="515">
        <v>0</v>
      </c>
      <c r="R117" s="515">
        <v>0</v>
      </c>
      <c r="S117" s="515">
        <v>0</v>
      </c>
      <c r="T117" s="515">
        <v>0</v>
      </c>
      <c r="U117" s="515">
        <v>0</v>
      </c>
      <c r="V117" s="516">
        <f>(SUM(J117:U117)-P117)*0.85</f>
        <v>0</v>
      </c>
      <c r="W117" s="517">
        <v>4</v>
      </c>
      <c r="X117" s="267" t="e">
        <f>VLOOKUP(B117,#REF!,37,0)</f>
        <v>#REF!</v>
      </c>
      <c r="Y117" s="518" t="e">
        <f>VLOOKUP(B117,#REF!,38,0)</f>
        <v>#REF!</v>
      </c>
      <c r="Z117" s="515" t="e">
        <f>VLOOKUP(B117,#REF!,72,0)</f>
        <v>#REF!</v>
      </c>
      <c r="AA117" s="515" t="e">
        <f>VLOOKUP(B117,#REF!,71,0)</f>
        <v>#REF!</v>
      </c>
      <c r="AB117" s="515" t="e">
        <f>VLOOKUP(B117,#REF!,36,0)</f>
        <v>#REF!</v>
      </c>
      <c r="AC117" s="515"/>
      <c r="AD117" s="519"/>
      <c r="AE117" s="519"/>
      <c r="AF117" s="519"/>
      <c r="AG117" s="519"/>
      <c r="AH117" s="519"/>
      <c r="AI117" s="519"/>
      <c r="AJ117" s="519"/>
      <c r="AK117" s="516" t="e">
        <f>V117/#REF!*(W117+Z117/8*2+AA117/8*1.5+AB117*3)+J117/#REF!*(X117+Y117)+AC117+P117+AE117+AG117+AH117+AI117+AJ117</f>
        <v>#REF!</v>
      </c>
      <c r="AL117" s="515">
        <f t="shared" si="112"/>
        <v>0</v>
      </c>
      <c r="AM117" s="519">
        <v>0</v>
      </c>
      <c r="AN117" s="520" t="e">
        <f>VLOOKUP(B117,#REF!,75,0)</f>
        <v>#REF!</v>
      </c>
      <c r="AO117" s="520"/>
      <c r="AP117" s="521" t="e">
        <f t="shared" si="113"/>
        <v>#REF!</v>
      </c>
    </row>
    <row r="118" spans="1:42" s="459" customFormat="1">
      <c r="A118" s="262"/>
      <c r="B118" s="391" t="s">
        <v>759</v>
      </c>
      <c r="C118" s="292" t="s">
        <v>760</v>
      </c>
      <c r="D118" s="280" t="str">
        <f>'THANG B.LUONG'!B130</f>
        <v>NV thống kê ĐS - PB thành phẩm</v>
      </c>
      <c r="E118" s="493">
        <v>43252</v>
      </c>
      <c r="F118" s="265">
        <v>2</v>
      </c>
      <c r="G118" s="266">
        <f t="shared" ref="G118" si="119">DATEDIF(E118,$J$3,"y")</f>
        <v>0</v>
      </c>
      <c r="H118" s="266">
        <f t="shared" ref="H118" si="120">DATEDIF(E118,$J$3,"ym")</f>
        <v>2</v>
      </c>
      <c r="I118" s="267">
        <f t="shared" ref="I118" si="121">DATEDIF(E118,$J$3,"md")</f>
        <v>24</v>
      </c>
      <c r="J118" s="267">
        <f>VLOOKUP(D118,'THANG B.LUONG'!$B$5:$I$513,F118+1,0)</f>
        <v>0</v>
      </c>
      <c r="K118" s="267">
        <v>0</v>
      </c>
      <c r="L118" s="267">
        <v>0</v>
      </c>
      <c r="M118" s="267">
        <f t="shared" ref="M118" si="122">IF(G118&gt;=3,J118*(0.03+(G118-3)*0.01),0)</f>
        <v>0</v>
      </c>
      <c r="N118" s="267">
        <v>0</v>
      </c>
      <c r="O118" s="267">
        <v>0</v>
      </c>
      <c r="P118" s="267">
        <v>0</v>
      </c>
      <c r="Q118" s="267">
        <v>0</v>
      </c>
      <c r="R118" s="267">
        <v>0</v>
      </c>
      <c r="S118" s="267">
        <v>0</v>
      </c>
      <c r="T118" s="267">
        <v>0</v>
      </c>
      <c r="U118" s="267">
        <v>0</v>
      </c>
      <c r="V118" s="268">
        <f>SUM(J118:U118)-P118</f>
        <v>0</v>
      </c>
      <c r="W118" s="269">
        <v>23</v>
      </c>
      <c r="X118" s="267" t="e">
        <f>VLOOKUP(B118,#REF!,37,0)</f>
        <v>#REF!</v>
      </c>
      <c r="Y118" s="270" t="e">
        <f>VLOOKUP(B118,#REF!,38,0)</f>
        <v>#REF!</v>
      </c>
      <c r="Z118" s="267">
        <v>0</v>
      </c>
      <c r="AA118" s="267">
        <v>0</v>
      </c>
      <c r="AB118" s="267" t="e">
        <f>VLOOKUP(B118,#REF!,36,0)</f>
        <v>#REF!</v>
      </c>
      <c r="AC118" s="267"/>
      <c r="AD118" s="271"/>
      <c r="AE118" s="271"/>
      <c r="AF118" s="271"/>
      <c r="AG118" s="271"/>
      <c r="AH118" s="271"/>
      <c r="AI118" s="271"/>
      <c r="AJ118" s="271"/>
      <c r="AK118" s="268" t="e">
        <f>V118/#REF!*(W118+Z118/8*2+AA118/8*1.5+AB118*3)+J118/#REF!*(X118+Y118)+AC118+P118+AE118+AG118+AH118+AI118+AJ118</f>
        <v>#REF!</v>
      </c>
      <c r="AL118" s="267">
        <f t="shared" ref="AL118" si="123">AM118*$AN$3</f>
        <v>0</v>
      </c>
      <c r="AM118" s="271">
        <v>0</v>
      </c>
      <c r="AN118" s="272"/>
      <c r="AO118" s="272"/>
      <c r="AP118" s="273" t="e">
        <f t="shared" ref="AP118" si="124">ROUND(AK118-AL118-AN118+AO118,-1)</f>
        <v>#REF!</v>
      </c>
    </row>
    <row r="119" spans="1:42" ht="13.5" customHeight="1">
      <c r="A119" s="276"/>
      <c r="B119" s="470"/>
      <c r="C119" s="277" t="s">
        <v>556</v>
      </c>
      <c r="D119" s="277"/>
      <c r="E119" s="494"/>
      <c r="F119" s="235"/>
      <c r="G119" s="235"/>
      <c r="H119" s="235"/>
      <c r="I119" s="235"/>
      <c r="J119" s="235"/>
      <c r="K119" s="235"/>
      <c r="L119" s="235"/>
      <c r="M119" s="235"/>
      <c r="N119" s="235"/>
      <c r="O119" s="235"/>
      <c r="P119" s="235"/>
      <c r="Q119" s="235"/>
      <c r="R119" s="235"/>
      <c r="S119" s="235"/>
      <c r="T119" s="235"/>
      <c r="U119" s="235"/>
      <c r="V119" s="235"/>
      <c r="W119" s="235"/>
      <c r="X119" s="235"/>
      <c r="Y119" s="235"/>
      <c r="Z119" s="235"/>
      <c r="AA119" s="235"/>
      <c r="AB119" s="235"/>
      <c r="AC119" s="235"/>
      <c r="AD119" s="235"/>
      <c r="AE119" s="235"/>
      <c r="AF119" s="235"/>
      <c r="AG119" s="235"/>
      <c r="AH119" s="235"/>
      <c r="AI119" s="235"/>
      <c r="AJ119" s="235"/>
      <c r="AK119" s="261" t="e">
        <f>SUM(AK120:AK121)</f>
        <v>#REF!</v>
      </c>
      <c r="AL119" s="261">
        <f t="shared" ref="AL119:AP119" si="125">SUM(AL120:AL121)</f>
        <v>1081.5</v>
      </c>
      <c r="AM119" s="261">
        <f t="shared" si="125"/>
        <v>10300</v>
      </c>
      <c r="AN119" s="261" t="e">
        <f t="shared" si="125"/>
        <v>#REF!</v>
      </c>
      <c r="AO119" s="261">
        <f t="shared" si="125"/>
        <v>0</v>
      </c>
      <c r="AP119" s="261" t="e">
        <f t="shared" si="125"/>
        <v>#REF!</v>
      </c>
    </row>
    <row r="120" spans="1:42" s="468" customFormat="1" ht="12">
      <c r="A120" s="262"/>
      <c r="B120" s="391" t="s">
        <v>331</v>
      </c>
      <c r="C120" s="232" t="s">
        <v>407</v>
      </c>
      <c r="D120" s="280" t="str">
        <f>'THANG B.LUONG'!B92</f>
        <v>Trưởng phòng điều độ cơ giới</v>
      </c>
      <c r="E120" s="493">
        <v>42542</v>
      </c>
      <c r="F120" s="449">
        <v>2</v>
      </c>
      <c r="G120" s="266">
        <f>DATEDIF(E120,$J$3,"y")</f>
        <v>2</v>
      </c>
      <c r="H120" s="266">
        <f>DATEDIF(E120,$J$3,"ym")</f>
        <v>2</v>
      </c>
      <c r="I120" s="267">
        <f>DATEDIF(E120,$J$3,"md")</f>
        <v>4</v>
      </c>
      <c r="J120" s="267">
        <f>VLOOKUP(D120,'THANG B.LUONG'!$B$5:$I$513,F120+1,0)</f>
        <v>0</v>
      </c>
      <c r="K120" s="267">
        <v>0</v>
      </c>
      <c r="L120" s="467">
        <v>1000</v>
      </c>
      <c r="M120" s="467">
        <f>IF(G120&gt;=3,J120*(0.03+(G120-3)*0.01),0)</f>
        <v>0</v>
      </c>
      <c r="N120" s="467">
        <v>0</v>
      </c>
      <c r="O120" s="467">
        <v>500</v>
      </c>
      <c r="P120" s="467">
        <v>500</v>
      </c>
      <c r="Q120" s="267">
        <v>0</v>
      </c>
      <c r="R120" s="267">
        <v>0</v>
      </c>
      <c r="S120" s="267">
        <v>0</v>
      </c>
      <c r="T120" s="267">
        <v>0</v>
      </c>
      <c r="U120" s="267">
        <v>0</v>
      </c>
      <c r="V120" s="268">
        <f>SUM(J120:U120)-P120</f>
        <v>1500</v>
      </c>
      <c r="W120" s="269" t="e">
        <f>VLOOKUP(B120,#REF!,35,0)</f>
        <v>#REF!</v>
      </c>
      <c r="X120" s="267" t="e">
        <f>VLOOKUP(B120,#REF!,37,0)</f>
        <v>#REF!</v>
      </c>
      <c r="Y120" s="270" t="e">
        <f>VLOOKUP(B120,#REF!,38,0)</f>
        <v>#REF!</v>
      </c>
      <c r="Z120" s="267" t="e">
        <f>VLOOKUP(B120,#REF!,72,0)</f>
        <v>#REF!</v>
      </c>
      <c r="AA120" s="267" t="e">
        <f>VLOOKUP(B120,#REF!,71,0)</f>
        <v>#REF!</v>
      </c>
      <c r="AB120" s="267" t="e">
        <f>VLOOKUP(B120,#REF!,36,0)</f>
        <v>#REF!</v>
      </c>
      <c r="AC120" s="267"/>
      <c r="AD120" s="271"/>
      <c r="AE120" s="271"/>
      <c r="AF120" s="271"/>
      <c r="AG120" s="271"/>
      <c r="AH120" s="271"/>
      <c r="AI120" s="271"/>
      <c r="AJ120" s="400"/>
      <c r="AK120" s="268" t="e">
        <f>V120/#REF!*(W120+Z120/8*2+AA120/8*1.5+AB120*3)+J120/#REF!*(X120+Y120)+AC120+P120+AE120+AG120+AH120+AI120+AJ120</f>
        <v>#REF!</v>
      </c>
      <c r="AL120" s="267">
        <f>AM120*$AN$3</f>
        <v>577.5</v>
      </c>
      <c r="AM120" s="414">
        <v>5500</v>
      </c>
      <c r="AN120" s="272" t="e">
        <f>VLOOKUP(B120,#REF!,75,0)</f>
        <v>#REF!</v>
      </c>
      <c r="AO120" s="272"/>
      <c r="AP120" s="273" t="e">
        <f>ROUND(AK120-AL120-AN120+AO120,-1)</f>
        <v>#REF!</v>
      </c>
    </row>
    <row r="121" spans="1:42">
      <c r="A121" s="262"/>
      <c r="B121" s="391" t="s">
        <v>272</v>
      </c>
      <c r="C121" s="293" t="s">
        <v>273</v>
      </c>
      <c r="D121" s="280" t="str">
        <f>'THANG B.LUONG'!B96</f>
        <v>Nhân viên thống kê vận hành</v>
      </c>
      <c r="E121" s="493">
        <v>42443</v>
      </c>
      <c r="F121" s="449">
        <v>2</v>
      </c>
      <c r="G121" s="266">
        <f>DATEDIF(E121,$J$3,"y")</f>
        <v>2</v>
      </c>
      <c r="H121" s="266">
        <f>DATEDIF(E121,$J$3,"ym")</f>
        <v>5</v>
      </c>
      <c r="I121" s="267">
        <f>DATEDIF(E121,$J$3,"md")</f>
        <v>11</v>
      </c>
      <c r="J121" s="267">
        <f>VLOOKUP(D121,'THANG B.LUONG'!$B$5:$I$513,F121+1,0)</f>
        <v>0</v>
      </c>
      <c r="K121" s="267">
        <v>0</v>
      </c>
      <c r="L121" s="267">
        <v>0</v>
      </c>
      <c r="M121" s="267">
        <f>IF(G121&gt;=3,J121*(0.03+(G121-3)*0.01),0)</f>
        <v>0</v>
      </c>
      <c r="N121" s="267">
        <v>0</v>
      </c>
      <c r="O121" s="267">
        <v>0</v>
      </c>
      <c r="P121" s="267">
        <v>0</v>
      </c>
      <c r="Q121" s="267">
        <v>0</v>
      </c>
      <c r="R121" s="267">
        <v>0</v>
      </c>
      <c r="S121" s="267">
        <v>0</v>
      </c>
      <c r="T121" s="267">
        <v>0</v>
      </c>
      <c r="U121" s="267">
        <v>0</v>
      </c>
      <c r="V121" s="268">
        <f>SUM(J121:U121)-P121</f>
        <v>0</v>
      </c>
      <c r="W121" s="269" t="e">
        <f>VLOOKUP(B121,#REF!,35,0)</f>
        <v>#REF!</v>
      </c>
      <c r="X121" s="267" t="e">
        <f>VLOOKUP(B121,#REF!,37,0)</f>
        <v>#REF!</v>
      </c>
      <c r="Y121" s="270" t="e">
        <f>VLOOKUP(B121,#REF!,38,0)</f>
        <v>#REF!</v>
      </c>
      <c r="Z121" s="267" t="e">
        <f>VLOOKUP(B121,#REF!,72,0)</f>
        <v>#REF!</v>
      </c>
      <c r="AA121" s="267" t="e">
        <f>VLOOKUP(B121,#REF!,71,0)</f>
        <v>#REF!</v>
      </c>
      <c r="AB121" s="267" t="e">
        <f>VLOOKUP(B121,#REF!,36,0)</f>
        <v>#REF!</v>
      </c>
      <c r="AC121" s="267"/>
      <c r="AD121" s="271"/>
      <c r="AE121" s="271"/>
      <c r="AF121" s="271"/>
      <c r="AG121" s="271"/>
      <c r="AH121" s="271"/>
      <c r="AI121" s="271"/>
      <c r="AJ121" s="271"/>
      <c r="AK121" s="268" t="e">
        <f>V121/#REF!*(W121+Z121/8*2+AA121/8*1.5+AB121*3)+J121/#REF!*(X121+Y121)+AC121+P121+AE121+AG121+AH121+AI121+AJ121</f>
        <v>#REF!</v>
      </c>
      <c r="AL121" s="267">
        <f>AM121*$AN$3</f>
        <v>504</v>
      </c>
      <c r="AM121" s="414">
        <v>4800</v>
      </c>
      <c r="AN121" s="272" t="e">
        <f>VLOOKUP(B121,#REF!,75,0)</f>
        <v>#REF!</v>
      </c>
      <c r="AO121" s="272"/>
      <c r="AP121" s="273" t="e">
        <f>ROUND(AK121-AL121-AN121+AO121,-1)</f>
        <v>#REF!</v>
      </c>
    </row>
    <row r="122" spans="1:42">
      <c r="A122" s="276"/>
      <c r="B122" s="470"/>
      <c r="C122" s="277" t="s">
        <v>557</v>
      </c>
      <c r="D122" s="277"/>
      <c r="E122" s="494"/>
      <c r="F122" s="235"/>
      <c r="G122" s="235"/>
      <c r="H122" s="235"/>
      <c r="I122" s="235"/>
      <c r="J122" s="235"/>
      <c r="K122" s="235"/>
      <c r="L122" s="235"/>
      <c r="M122" s="235"/>
      <c r="N122" s="235"/>
      <c r="O122" s="235"/>
      <c r="P122" s="235"/>
      <c r="Q122" s="235"/>
      <c r="R122" s="235"/>
      <c r="S122" s="235"/>
      <c r="T122" s="235"/>
      <c r="U122" s="235"/>
      <c r="V122" s="235"/>
      <c r="W122" s="235"/>
      <c r="X122" s="235"/>
      <c r="Y122" s="235"/>
      <c r="Z122" s="235"/>
      <c r="AA122" s="235"/>
      <c r="AB122" s="235"/>
      <c r="AC122" s="235"/>
      <c r="AD122" s="235"/>
      <c r="AE122" s="235"/>
      <c r="AF122" s="235"/>
      <c r="AG122" s="235"/>
      <c r="AH122" s="235"/>
      <c r="AI122" s="235"/>
      <c r="AJ122" s="235"/>
      <c r="AK122" s="261" t="e">
        <f>SUM(AK123:AK124)</f>
        <v>#REF!</v>
      </c>
      <c r="AL122" s="261">
        <f t="shared" ref="AL122:AP122" si="126">SUM(AL123:AL124)</f>
        <v>1113</v>
      </c>
      <c r="AM122" s="261">
        <f t="shared" si="126"/>
        <v>10600</v>
      </c>
      <c r="AN122" s="261" t="e">
        <f t="shared" si="126"/>
        <v>#REF!</v>
      </c>
      <c r="AO122" s="261">
        <f t="shared" si="126"/>
        <v>0</v>
      </c>
      <c r="AP122" s="261" t="e">
        <f t="shared" si="126"/>
        <v>#REF!</v>
      </c>
    </row>
    <row r="123" spans="1:42">
      <c r="A123" s="262"/>
      <c r="B123" s="391" t="s">
        <v>319</v>
      </c>
      <c r="C123" s="232" t="s">
        <v>397</v>
      </c>
      <c r="D123" s="324" t="str">
        <f>'[1]THANG B.LUONG'!$B$99</f>
        <v>Trưởng phòng quản lý chất lượng sản phẩm</v>
      </c>
      <c r="E123" s="493">
        <v>38579</v>
      </c>
      <c r="F123" s="265">
        <v>1</v>
      </c>
      <c r="G123" s="266">
        <f>DATEDIF(E123,$J$3,"y")</f>
        <v>13</v>
      </c>
      <c r="H123" s="266">
        <f>DATEDIF(E123,$J$3,"ym")</f>
        <v>0</v>
      </c>
      <c r="I123" s="267">
        <f>DATEDIF(E123,$J$3,"md")</f>
        <v>10</v>
      </c>
      <c r="J123" s="267">
        <f>VLOOKUP(D123,'THANG B.LUONG'!$B$5:$I$513,F123+1,0)</f>
        <v>0</v>
      </c>
      <c r="K123" s="267">
        <v>0</v>
      </c>
      <c r="L123" s="267">
        <v>1000</v>
      </c>
      <c r="M123" s="267">
        <f>IF(G123&gt;=3,J123*(0.03+(G123-3)*0.01),0)</f>
        <v>0</v>
      </c>
      <c r="N123" s="267">
        <v>0</v>
      </c>
      <c r="O123" s="267">
        <v>500</v>
      </c>
      <c r="P123" s="267">
        <v>500</v>
      </c>
      <c r="Q123" s="267">
        <v>0</v>
      </c>
      <c r="R123" s="267">
        <v>0</v>
      </c>
      <c r="S123" s="267">
        <v>0</v>
      </c>
      <c r="T123" s="267">
        <v>0</v>
      </c>
      <c r="U123" s="267">
        <v>0</v>
      </c>
      <c r="V123" s="268">
        <f>SUM(J123:U123)-P123</f>
        <v>1500</v>
      </c>
      <c r="W123" s="269" t="e">
        <f>VLOOKUP(B123,#REF!,35,0)</f>
        <v>#REF!</v>
      </c>
      <c r="X123" s="267" t="e">
        <f>VLOOKUP(B123,#REF!,37,0)</f>
        <v>#REF!</v>
      </c>
      <c r="Y123" s="270" t="e">
        <f>VLOOKUP(B123,#REF!,38,0)</f>
        <v>#REF!</v>
      </c>
      <c r="Z123" s="267" t="e">
        <f>VLOOKUP(B123,#REF!,72,0)</f>
        <v>#REF!</v>
      </c>
      <c r="AA123" s="267" t="e">
        <f>VLOOKUP(B123,#REF!,71,0)</f>
        <v>#REF!</v>
      </c>
      <c r="AB123" s="267" t="e">
        <f>VLOOKUP(B123,#REF!,36,0)</f>
        <v>#REF!</v>
      </c>
      <c r="AC123" s="267"/>
      <c r="AD123" s="271"/>
      <c r="AE123" s="271"/>
      <c r="AF123" s="271"/>
      <c r="AG123" s="271"/>
      <c r="AH123" s="405"/>
      <c r="AI123" s="271"/>
      <c r="AJ123" s="271"/>
      <c r="AK123" s="268" t="e">
        <f>V123/#REF!*(W123+Z123/8*2+AA123/8*1.5+AB123*3)+J123/#REF!*(X123+Y123)+AC123+P123+AE123+AG123+AH123+AI123+AJ123</f>
        <v>#REF!</v>
      </c>
      <c r="AL123" s="267">
        <f>AM123*$AN$3</f>
        <v>577.5</v>
      </c>
      <c r="AM123" s="385">
        <v>5500</v>
      </c>
      <c r="AN123" s="272" t="e">
        <f>VLOOKUP(B123,#REF!,75,0)</f>
        <v>#REF!</v>
      </c>
      <c r="AO123" s="272"/>
      <c r="AP123" s="273" t="e">
        <f>ROUND(AK123-AL123-AN123+AO123,-1)</f>
        <v>#REF!</v>
      </c>
    </row>
    <row r="124" spans="1:42">
      <c r="A124" s="262"/>
      <c r="B124" s="482" t="s">
        <v>647</v>
      </c>
      <c r="C124" s="448" t="s">
        <v>648</v>
      </c>
      <c r="D124" s="444" t="str">
        <f>'THANG B.LUONG'!B151</f>
        <v>NV QC inline ĐS - PB</v>
      </c>
      <c r="E124" s="496">
        <v>42415</v>
      </c>
      <c r="F124" s="265">
        <v>1</v>
      </c>
      <c r="G124" s="266">
        <f>DATEDIF(E124,$J$3,"y")</f>
        <v>2</v>
      </c>
      <c r="H124" s="266">
        <f>DATEDIF(E124,$J$3,"ym")</f>
        <v>6</v>
      </c>
      <c r="I124" s="267">
        <f>DATEDIF(E124,$J$3,"md")</f>
        <v>10</v>
      </c>
      <c r="J124" s="267">
        <f>VLOOKUP(D124,'THANG B.LUONG'!$B$5:$I$513,F124+1,0)</f>
        <v>0</v>
      </c>
      <c r="K124" s="267">
        <v>0</v>
      </c>
      <c r="L124" s="267">
        <v>0</v>
      </c>
      <c r="M124" s="267">
        <f>IF(G124&gt;=3,J124*(0.03+(G124-3)*0.01),0)</f>
        <v>0</v>
      </c>
      <c r="N124" s="267">
        <v>0</v>
      </c>
      <c r="O124" s="267">
        <v>0</v>
      </c>
      <c r="P124" s="267">
        <v>0</v>
      </c>
      <c r="Q124" s="267">
        <v>0</v>
      </c>
      <c r="R124" s="267">
        <v>0</v>
      </c>
      <c r="S124" s="267">
        <v>0</v>
      </c>
      <c r="T124" s="267">
        <v>0</v>
      </c>
      <c r="U124" s="267">
        <v>0</v>
      </c>
      <c r="V124" s="268">
        <f>SUM(J124:U124)-P124</f>
        <v>0</v>
      </c>
      <c r="W124" s="269" t="e">
        <f>VLOOKUP(B124,#REF!,35,0)</f>
        <v>#REF!</v>
      </c>
      <c r="X124" s="267" t="e">
        <f>VLOOKUP(B124,#REF!,37,0)</f>
        <v>#REF!</v>
      </c>
      <c r="Y124" s="270" t="e">
        <f>VLOOKUP(B124,#REF!,38,0)</f>
        <v>#REF!</v>
      </c>
      <c r="Z124" s="267" t="e">
        <f>VLOOKUP(B124,#REF!,72,0)</f>
        <v>#REF!</v>
      </c>
      <c r="AA124" s="267" t="e">
        <f>VLOOKUP(B124,#REF!,71,0)</f>
        <v>#REF!</v>
      </c>
      <c r="AB124" s="267" t="e">
        <f>VLOOKUP(B124,#REF!,36,0)</f>
        <v>#REF!</v>
      </c>
      <c r="AC124" s="267"/>
      <c r="AD124" s="271"/>
      <c r="AE124" s="271"/>
      <c r="AF124" s="271"/>
      <c r="AG124" s="271"/>
      <c r="AH124" s="405"/>
      <c r="AI124" s="271"/>
      <c r="AJ124" s="271"/>
      <c r="AK124" s="268" t="e">
        <f>V124/#REF!*(W124+Z124/8*2+AA124/8*1.5+AB124*3)+J124/#REF!*(X124+Y124)+AC124+P124+AE124+AG124+AH124+AI124+AJ124</f>
        <v>#REF!</v>
      </c>
      <c r="AL124" s="267">
        <f>AM124*$AN$3</f>
        <v>535.5</v>
      </c>
      <c r="AM124" s="385">
        <v>5100</v>
      </c>
      <c r="AN124" s="272" t="e">
        <f>VLOOKUP(B124,#REF!,75,0)</f>
        <v>#REF!</v>
      </c>
      <c r="AO124" s="272"/>
      <c r="AP124" s="273" t="e">
        <f>ROUND(AK124-AL124-AN124+AO124,-1)</f>
        <v>#REF!</v>
      </c>
    </row>
    <row r="125" spans="1:42" ht="18" customHeight="1">
      <c r="A125" s="251"/>
      <c r="B125" s="251" t="s">
        <v>585</v>
      </c>
      <c r="C125" s="252"/>
      <c r="D125" s="252"/>
      <c r="E125" s="491"/>
      <c r="F125" s="252"/>
      <c r="G125" s="252"/>
      <c r="H125" s="252"/>
      <c r="I125" s="252"/>
      <c r="J125" s="252"/>
      <c r="K125" s="252"/>
      <c r="L125" s="252"/>
      <c r="M125" s="252"/>
      <c r="N125" s="252"/>
      <c r="O125" s="252"/>
      <c r="P125" s="252"/>
      <c r="Q125" s="252"/>
      <c r="R125" s="252"/>
      <c r="S125" s="252"/>
      <c r="T125" s="252"/>
      <c r="U125" s="252"/>
      <c r="V125" s="252"/>
      <c r="W125" s="252"/>
      <c r="X125" s="252"/>
      <c r="Y125" s="252"/>
      <c r="Z125" s="252"/>
      <c r="AA125" s="252"/>
      <c r="AB125" s="252"/>
      <c r="AC125" s="252"/>
      <c r="AD125" s="252"/>
      <c r="AE125" s="252"/>
      <c r="AF125" s="252"/>
      <c r="AG125" s="252"/>
      <c r="AH125" s="252"/>
      <c r="AI125" s="252"/>
      <c r="AJ125" s="252"/>
      <c r="AK125" s="252"/>
      <c r="AL125" s="252"/>
      <c r="AM125" s="252"/>
      <c r="AN125" s="252"/>
      <c r="AO125" s="252"/>
      <c r="AP125" s="252"/>
    </row>
    <row r="126" spans="1:42">
      <c r="A126" s="276"/>
      <c r="B126" s="470"/>
      <c r="C126" s="277" t="s">
        <v>480</v>
      </c>
      <c r="D126" s="277"/>
      <c r="E126" s="494"/>
      <c r="F126" s="235"/>
      <c r="G126" s="235"/>
      <c r="H126" s="235"/>
      <c r="I126" s="235"/>
      <c r="J126" s="235"/>
      <c r="K126" s="235"/>
      <c r="L126" s="235"/>
      <c r="M126" s="235"/>
      <c r="N126" s="235"/>
      <c r="O126" s="235"/>
      <c r="P126" s="235"/>
      <c r="Q126" s="235"/>
      <c r="R126" s="235"/>
      <c r="S126" s="235"/>
      <c r="T126" s="235"/>
      <c r="U126" s="235"/>
      <c r="V126" s="235"/>
      <c r="W126" s="235"/>
      <c r="X126" s="235"/>
      <c r="Y126" s="235"/>
      <c r="Z126" s="235"/>
      <c r="AA126" s="235"/>
      <c r="AB126" s="235"/>
      <c r="AC126" s="235"/>
      <c r="AD126" s="235"/>
      <c r="AE126" s="235"/>
      <c r="AF126" s="235"/>
      <c r="AG126" s="235"/>
      <c r="AH126" s="235"/>
      <c r="AI126" s="235"/>
      <c r="AJ126" s="235"/>
      <c r="AK126" s="384" t="e">
        <f>SUM(AK127)</f>
        <v>#REF!</v>
      </c>
      <c r="AL126" s="384">
        <f t="shared" ref="AL126:AP126" si="127">SUM(AL127)</f>
        <v>0</v>
      </c>
      <c r="AM126" s="384">
        <f t="shared" si="127"/>
        <v>0</v>
      </c>
      <c r="AN126" s="384" t="e">
        <f t="shared" si="127"/>
        <v>#REF!</v>
      </c>
      <c r="AO126" s="384">
        <f t="shared" si="127"/>
        <v>0</v>
      </c>
      <c r="AP126" s="384" t="e">
        <f t="shared" si="127"/>
        <v>#REF!</v>
      </c>
    </row>
    <row r="127" spans="1:42">
      <c r="A127" s="262"/>
      <c r="B127" s="271" t="s">
        <v>596</v>
      </c>
      <c r="C127" s="232" t="s">
        <v>597</v>
      </c>
      <c r="D127" s="322" t="str">
        <f>'THANG B.LUONG'!B70</f>
        <v>GIÁM ĐỐC KINH DOANH</v>
      </c>
      <c r="E127" s="493">
        <v>43115</v>
      </c>
      <c r="F127" s="265">
        <v>5</v>
      </c>
      <c r="G127" s="266">
        <f>DATEDIF(E127,$J$3,"y")</f>
        <v>0</v>
      </c>
      <c r="H127" s="266">
        <f>DATEDIF(E127,$J$3,"ym")</f>
        <v>7</v>
      </c>
      <c r="I127" s="267">
        <f>DATEDIF(E127,$J$3,"md")</f>
        <v>10</v>
      </c>
      <c r="J127" s="267">
        <f>VLOOKUP(D127,'THANG B.LUONG'!$B$5:$I$513,F127+1,0)</f>
        <v>0</v>
      </c>
      <c r="K127" s="267">
        <v>0</v>
      </c>
      <c r="L127" s="267">
        <v>3000</v>
      </c>
      <c r="M127" s="267">
        <f>IF(G127&gt;=3,J127*(0.03+(G127-3)*0.01),0)</f>
        <v>0</v>
      </c>
      <c r="N127" s="267">
        <v>0</v>
      </c>
      <c r="O127" s="267">
        <v>1000</v>
      </c>
      <c r="P127" s="267">
        <v>1000</v>
      </c>
      <c r="Q127" s="267">
        <v>0</v>
      </c>
      <c r="R127" s="267">
        <v>0</v>
      </c>
      <c r="S127" s="267">
        <v>0</v>
      </c>
      <c r="T127" s="267">
        <v>0</v>
      </c>
      <c r="U127" s="267">
        <v>0</v>
      </c>
      <c r="V127" s="268">
        <f>SUM(J127:U127)-P127</f>
        <v>4000</v>
      </c>
      <c r="W127" s="269" t="e">
        <f>VLOOKUP(B127,#REF!,35,0)</f>
        <v>#REF!</v>
      </c>
      <c r="X127" s="267" t="e">
        <f>VLOOKUP(B127,#REF!,37,0)</f>
        <v>#REF!</v>
      </c>
      <c r="Y127" s="270" t="e">
        <f>VLOOKUP(B127,#REF!,38,0)</f>
        <v>#REF!</v>
      </c>
      <c r="Z127" s="267" t="e">
        <f>VLOOKUP(B127,#REF!,72,0)</f>
        <v>#REF!</v>
      </c>
      <c r="AA127" s="267" t="e">
        <f>VLOOKUP(B127,#REF!,71,0)</f>
        <v>#REF!</v>
      </c>
      <c r="AB127" s="267" t="e">
        <f>VLOOKUP(B127,#REF!,36,0)</f>
        <v>#REF!</v>
      </c>
      <c r="AC127" s="267"/>
      <c r="AD127" s="271"/>
      <c r="AE127" s="271"/>
      <c r="AF127" s="271"/>
      <c r="AG127" s="271"/>
      <c r="AH127" s="271"/>
      <c r="AI127" s="271"/>
      <c r="AJ127" s="271"/>
      <c r="AK127" s="323" t="e">
        <f>V127/#REF!*(W127+Z127/8*2+AA127/8*1.5+AB127*3)+J127/#REF!*(X127+Y127)+AC127+P127+AE127+AG127+AH127+AI127+AJ127</f>
        <v>#REF!</v>
      </c>
      <c r="AL127" s="267">
        <f>AM127*$AN$3</f>
        <v>0</v>
      </c>
      <c r="AM127" s="267"/>
      <c r="AN127" s="272" t="e">
        <f>VLOOKUP(B127,#REF!,75,0)</f>
        <v>#REF!</v>
      </c>
      <c r="AO127" s="272"/>
      <c r="AP127" s="273" t="e">
        <f>ROUND(AK127-AL127-AN127+AO127,-1)</f>
        <v>#REF!</v>
      </c>
    </row>
    <row r="128" spans="1:42">
      <c r="A128" s="276"/>
      <c r="B128" s="476"/>
      <c r="C128" s="231" t="s">
        <v>342</v>
      </c>
      <c r="D128" s="230"/>
      <c r="E128" s="494"/>
      <c r="F128" s="235"/>
      <c r="G128" s="235"/>
      <c r="H128" s="235"/>
      <c r="I128" s="235"/>
      <c r="J128" s="235"/>
      <c r="K128" s="235"/>
      <c r="L128" s="235"/>
      <c r="M128" s="235"/>
      <c r="N128" s="235"/>
      <c r="O128" s="235"/>
      <c r="P128" s="235"/>
      <c r="Q128" s="235"/>
      <c r="R128" s="235"/>
      <c r="S128" s="235"/>
      <c r="T128" s="235"/>
      <c r="U128" s="235"/>
      <c r="V128" s="235"/>
      <c r="W128" s="235"/>
      <c r="X128" s="235"/>
      <c r="Y128" s="235"/>
      <c r="Z128" s="235"/>
      <c r="AA128" s="235"/>
      <c r="AB128" s="235"/>
      <c r="AC128" s="235"/>
      <c r="AD128" s="235"/>
      <c r="AE128" s="235"/>
      <c r="AF128" s="235"/>
      <c r="AG128" s="235"/>
      <c r="AH128" s="235"/>
      <c r="AI128" s="235"/>
      <c r="AJ128" s="235"/>
      <c r="AK128" s="261" t="e">
        <f>SUM(AK129)</f>
        <v>#REF!</v>
      </c>
      <c r="AL128" s="261">
        <f t="shared" ref="AL128:AP128" si="128">SUM(AL129)</f>
        <v>504</v>
      </c>
      <c r="AM128" s="261">
        <f t="shared" si="128"/>
        <v>4800</v>
      </c>
      <c r="AN128" s="261" t="e">
        <f t="shared" si="128"/>
        <v>#REF!</v>
      </c>
      <c r="AO128" s="261">
        <f t="shared" si="128"/>
        <v>0</v>
      </c>
      <c r="AP128" s="261" t="e">
        <f t="shared" si="128"/>
        <v>#REF!</v>
      </c>
    </row>
    <row r="129" spans="1:53">
      <c r="A129" s="262"/>
      <c r="B129" s="271" t="s">
        <v>343</v>
      </c>
      <c r="C129" s="232" t="s">
        <v>423</v>
      </c>
      <c r="D129" s="233" t="str">
        <f>'[1]THANG B.LUONG'!$B$60</f>
        <v>Sale admin</v>
      </c>
      <c r="E129" s="493">
        <v>42513</v>
      </c>
      <c r="F129" s="265">
        <v>2</v>
      </c>
      <c r="G129" s="266">
        <f>DATEDIF(E129,$J$3,"y")</f>
        <v>2</v>
      </c>
      <c r="H129" s="266">
        <f>DATEDIF(E129,$J$3,"ym")</f>
        <v>3</v>
      </c>
      <c r="I129" s="267">
        <f>DATEDIF(E129,$J$3,"md")</f>
        <v>2</v>
      </c>
      <c r="J129" s="267">
        <f>VLOOKUP(D129,'THANG B.LUONG'!$B$5:$I$513,F129+1,0)</f>
        <v>0</v>
      </c>
      <c r="K129" s="267">
        <v>0</v>
      </c>
      <c r="L129" s="267">
        <v>0</v>
      </c>
      <c r="M129" s="267">
        <f>IF(G129&gt;=3,J129*(0.03+(G129-3)*0.01),0)</f>
        <v>0</v>
      </c>
      <c r="N129" s="267">
        <v>0</v>
      </c>
      <c r="O129" s="267">
        <v>0</v>
      </c>
      <c r="P129" s="267">
        <v>300</v>
      </c>
      <c r="Q129" s="267">
        <v>0</v>
      </c>
      <c r="R129" s="267">
        <v>0</v>
      </c>
      <c r="S129" s="267">
        <v>0</v>
      </c>
      <c r="T129" s="267">
        <v>0</v>
      </c>
      <c r="U129" s="267">
        <v>0</v>
      </c>
      <c r="V129" s="268">
        <f>SUM(J129:U129)-P129</f>
        <v>0</v>
      </c>
      <c r="W129" s="269" t="e">
        <f>VLOOKUP(B129,#REF!,35,0)</f>
        <v>#REF!</v>
      </c>
      <c r="X129" s="267" t="e">
        <f>VLOOKUP(B129,#REF!,37,0)</f>
        <v>#REF!</v>
      </c>
      <c r="Y129" s="270" t="e">
        <f>VLOOKUP(B129,#REF!,38,0)</f>
        <v>#REF!</v>
      </c>
      <c r="Z129" s="267" t="e">
        <f>VLOOKUP(B129,#REF!,72,0)</f>
        <v>#REF!</v>
      </c>
      <c r="AA129" s="267" t="e">
        <f>VLOOKUP(B129,#REF!,71,0)</f>
        <v>#REF!</v>
      </c>
      <c r="AB129" s="267" t="e">
        <f>VLOOKUP(B129,#REF!,36,0)</f>
        <v>#REF!</v>
      </c>
      <c r="AC129" s="267"/>
      <c r="AD129" s="271">
        <f>VLOOKUP(B129,'DT-DS'!$A$23:$L$45,3,0)</f>
        <v>0</v>
      </c>
      <c r="AE129" s="271" t="e">
        <f>SUMIF(#REF!,'Luong VP'!B129,#REF!)</f>
        <v>#REF!</v>
      </c>
      <c r="AF129" s="271"/>
      <c r="AG129" s="271"/>
      <c r="AH129" s="271"/>
      <c r="AI129" s="271"/>
      <c r="AJ129" s="271"/>
      <c r="AK129" s="268" t="e">
        <f>V129/#REF!*(W129+Z129/8*2+AA129/8*1.5+AB129*3)+J129/#REF!*(X129+Y129)+AC129+P129+AE129+AG129+AH129+AI129+AJ129</f>
        <v>#REF!</v>
      </c>
      <c r="AL129" s="267">
        <f t="shared" ref="AL129:AL138" si="129">AM129*$AN$3</f>
        <v>504</v>
      </c>
      <c r="AM129" s="414">
        <v>4800</v>
      </c>
      <c r="AN129" s="272" t="e">
        <f>VLOOKUP(B129,#REF!,75,0)</f>
        <v>#REF!</v>
      </c>
      <c r="AO129" s="272"/>
      <c r="AP129" s="273" t="e">
        <f>ROUND(AK129-AL129-AN129+AO129,-1)</f>
        <v>#REF!</v>
      </c>
    </row>
    <row r="130" spans="1:53">
      <c r="A130" s="295"/>
      <c r="B130" s="481"/>
      <c r="C130" s="236" t="s">
        <v>355</v>
      </c>
      <c r="D130" s="235"/>
      <c r="E130" s="494"/>
      <c r="F130" s="235"/>
      <c r="G130" s="235"/>
      <c r="H130" s="235"/>
      <c r="I130" s="235"/>
      <c r="J130" s="235"/>
      <c r="K130" s="235"/>
      <c r="L130" s="235"/>
      <c r="M130" s="235"/>
      <c r="N130" s="235"/>
      <c r="O130" s="235"/>
      <c r="P130" s="235"/>
      <c r="Q130" s="235"/>
      <c r="R130" s="235"/>
      <c r="S130" s="235"/>
      <c r="T130" s="235"/>
      <c r="U130" s="235"/>
      <c r="V130" s="235"/>
      <c r="W130" s="235"/>
      <c r="X130" s="235"/>
      <c r="Y130" s="235"/>
      <c r="Z130" s="235"/>
      <c r="AA130" s="235"/>
      <c r="AB130" s="235"/>
      <c r="AC130" s="235"/>
      <c r="AD130" s="235"/>
      <c r="AE130" s="235"/>
      <c r="AF130" s="235"/>
      <c r="AG130" s="235"/>
      <c r="AH130" s="235"/>
      <c r="AI130" s="235"/>
      <c r="AJ130" s="235"/>
      <c r="AK130" s="261" t="e">
        <f>SUM(AK131:AK153)</f>
        <v>#REF!</v>
      </c>
      <c r="AL130" s="261">
        <f t="shared" ref="AL130:AP130" si="130">SUM(AL131:AL153)</f>
        <v>2047.5</v>
      </c>
      <c r="AM130" s="261">
        <f t="shared" si="130"/>
        <v>19500</v>
      </c>
      <c r="AN130" s="261" t="e">
        <f t="shared" si="130"/>
        <v>#REF!</v>
      </c>
      <c r="AO130" s="261">
        <f t="shared" si="130"/>
        <v>0</v>
      </c>
      <c r="AP130" s="261" t="e">
        <f t="shared" si="130"/>
        <v>#REF!</v>
      </c>
    </row>
    <row r="131" spans="1:53">
      <c r="A131" s="296"/>
      <c r="B131" s="271" t="s">
        <v>359</v>
      </c>
      <c r="C131" s="232" t="s">
        <v>435</v>
      </c>
      <c r="D131" s="233" t="str">
        <f>'THANG B.LUONG'!B72</f>
        <v>Trưởng sale TP</v>
      </c>
      <c r="E131" s="493">
        <v>42280</v>
      </c>
      <c r="F131" s="265">
        <v>7</v>
      </c>
      <c r="G131" s="266">
        <f t="shared" ref="G131:G138" si="131">DATEDIF(E131,$J$3,"y")</f>
        <v>2</v>
      </c>
      <c r="H131" s="266">
        <f t="shared" ref="H131:H138" si="132">DATEDIF(E131,$J$3,"ym")</f>
        <v>10</v>
      </c>
      <c r="I131" s="267">
        <f t="shared" ref="I131:I138" si="133">DATEDIF(E131,$J$3,"md")</f>
        <v>22</v>
      </c>
      <c r="J131" s="267">
        <f>VLOOKUP(D131,'THANG B.LUONG'!$B$5:$I$513,F131+1,0)</f>
        <v>0</v>
      </c>
      <c r="K131" s="267">
        <v>0</v>
      </c>
      <c r="L131" s="267">
        <v>0</v>
      </c>
      <c r="M131" s="267">
        <f t="shared" ref="M131:M152" si="134">IF(G131&gt;=3,J131*(0.03+(G131-3)*0.01),0)</f>
        <v>0</v>
      </c>
      <c r="N131" s="267">
        <v>0</v>
      </c>
      <c r="O131" s="267">
        <v>500</v>
      </c>
      <c r="P131" s="267">
        <v>300</v>
      </c>
      <c r="Q131" s="267">
        <v>500</v>
      </c>
      <c r="R131" s="267">
        <v>0</v>
      </c>
      <c r="S131" s="267">
        <v>0</v>
      </c>
      <c r="T131" s="267">
        <v>0</v>
      </c>
      <c r="U131" s="267">
        <v>0</v>
      </c>
      <c r="V131" s="268">
        <f t="shared" ref="V131:V139" si="135">SUM(J131:U131)-P131</f>
        <v>1000</v>
      </c>
      <c r="W131" s="269" t="e">
        <f>VLOOKUP(B131,#REF!,35,0)</f>
        <v>#REF!</v>
      </c>
      <c r="X131" s="267" t="e">
        <f>VLOOKUP(B131,#REF!,37,0)</f>
        <v>#REF!</v>
      </c>
      <c r="Y131" s="270" t="e">
        <f>VLOOKUP(B131,#REF!,38,0)</f>
        <v>#REF!</v>
      </c>
      <c r="Z131" s="267" t="e">
        <f>VLOOKUP(B131,#REF!,72,0)</f>
        <v>#REF!</v>
      </c>
      <c r="AA131" s="267" t="e">
        <f>VLOOKUP(B131,#REF!,71,0)</f>
        <v>#REF!</v>
      </c>
      <c r="AB131" s="267" t="e">
        <f>VLOOKUP(B131,#REF!,36,0)</f>
        <v>#REF!</v>
      </c>
      <c r="AC131" s="267"/>
      <c r="AD131" s="271">
        <v>0</v>
      </c>
      <c r="AE131" s="271" t="e">
        <f>SUMIF(#REF!,'Luong VP'!B131,#REF!)</f>
        <v>#REF!</v>
      </c>
      <c r="AF131" s="271"/>
      <c r="AG131" s="271"/>
      <c r="AH131" s="271"/>
      <c r="AI131" s="271"/>
      <c r="AJ131" s="385"/>
      <c r="AK131" s="268" t="e">
        <f>V131/#REF!*(W131+Z131/8*2+AA131/8*1.5+AB131*3)+J131/#REF!*(X131+Y131)+AC131+P131+AE131+AG131+AH131+AI131+AJ131</f>
        <v>#REF!</v>
      </c>
      <c r="AL131" s="267">
        <f t="shared" si="129"/>
        <v>535.5</v>
      </c>
      <c r="AM131" s="414">
        <v>5100</v>
      </c>
      <c r="AN131" s="272" t="e">
        <f>VLOOKUP(B131,#REF!,75,0)</f>
        <v>#REF!</v>
      </c>
      <c r="AO131" s="272"/>
      <c r="AP131" s="273" t="e">
        <f t="shared" ref="AP131:AP138" si="136">ROUND(AK131-AL131-AN131+AO131,-1)</f>
        <v>#REF!</v>
      </c>
    </row>
    <row r="132" spans="1:53" s="530" customFormat="1">
      <c r="A132" s="524"/>
      <c r="B132" s="519" t="s">
        <v>761</v>
      </c>
      <c r="C132" s="525" t="s">
        <v>762</v>
      </c>
      <c r="D132" s="526" t="str">
        <f>'THANG B.LUONG'!B73</f>
        <v>NV sale</v>
      </c>
      <c r="E132" s="512">
        <v>43263</v>
      </c>
      <c r="F132" s="527">
        <v>7</v>
      </c>
      <c r="G132" s="514">
        <f>DATEDIF(E132,$J$3,"y")</f>
        <v>0</v>
      </c>
      <c r="H132" s="514">
        <f>DATEDIF(E132,$J$3,"ym")</f>
        <v>2</v>
      </c>
      <c r="I132" s="515">
        <f>DATEDIF(E132,$J$3,"md")</f>
        <v>13</v>
      </c>
      <c r="J132" s="515">
        <f>VLOOKUP(D132,'THANG B.LUONG'!$B$5:$I$513,F132+1,0)</f>
        <v>0</v>
      </c>
      <c r="K132" s="515">
        <v>0</v>
      </c>
      <c r="L132" s="515">
        <v>0</v>
      </c>
      <c r="M132" s="515">
        <f t="shared" si="134"/>
        <v>0</v>
      </c>
      <c r="N132" s="515">
        <v>0</v>
      </c>
      <c r="O132" s="515">
        <v>500</v>
      </c>
      <c r="P132" s="515">
        <v>200</v>
      </c>
      <c r="Q132" s="515">
        <v>500</v>
      </c>
      <c r="R132" s="515">
        <v>0</v>
      </c>
      <c r="S132" s="515">
        <v>0</v>
      </c>
      <c r="T132" s="515">
        <v>0</v>
      </c>
      <c r="U132" s="515">
        <v>0</v>
      </c>
      <c r="V132" s="516">
        <f>(SUM(J132:U132)-P132)*0.85</f>
        <v>850</v>
      </c>
      <c r="W132" s="517" t="e">
        <f>VLOOKUP(B132,#REF!,35,0)</f>
        <v>#REF!</v>
      </c>
      <c r="X132" s="515" t="e">
        <f>VLOOKUP(B132,#REF!,37,0)</f>
        <v>#REF!</v>
      </c>
      <c r="Y132" s="518" t="e">
        <f>VLOOKUP(B132,#REF!,38,0)</f>
        <v>#REF!</v>
      </c>
      <c r="Z132" s="515" t="e">
        <f>VLOOKUP(B132,#REF!,72,0)</f>
        <v>#REF!</v>
      </c>
      <c r="AA132" s="515" t="e">
        <f>VLOOKUP(B132,#REF!,71,0)</f>
        <v>#REF!</v>
      </c>
      <c r="AB132" s="515" t="e">
        <f>VLOOKUP(B132,#REF!,36,0)</f>
        <v>#REF!</v>
      </c>
      <c r="AC132" s="515"/>
      <c r="AD132" s="519" t="e">
        <f>SUMIF(#REF!,'Luong VP'!B132,#REF!)</f>
        <v>#REF!</v>
      </c>
      <c r="AE132" s="548">
        <v>1500</v>
      </c>
      <c r="AF132" s="519"/>
      <c r="AG132" s="519"/>
      <c r="AH132" s="519"/>
      <c r="AI132" s="519"/>
      <c r="AJ132" s="528"/>
      <c r="AK132" s="516" t="e">
        <f>V132/#REF!*(W132+Z132/8*2+AA132/8*1.5+AB132*3)+J132/#REF!*(X132+Y132)+AC132+P132+AE132+AG132+AH132+AI132+AJ132</f>
        <v>#REF!</v>
      </c>
      <c r="AL132" s="515">
        <f>AM132*$AN$3</f>
        <v>0</v>
      </c>
      <c r="AM132" s="529"/>
      <c r="AN132" s="520" t="e">
        <f>VLOOKUP(B132,#REF!,75,0)</f>
        <v>#REF!</v>
      </c>
      <c r="AO132" s="520"/>
      <c r="AP132" s="521" t="e">
        <f t="shared" si="136"/>
        <v>#REF!</v>
      </c>
    </row>
    <row r="133" spans="1:53" s="530" customFormat="1">
      <c r="A133" s="524"/>
      <c r="B133" s="519" t="s">
        <v>780</v>
      </c>
      <c r="C133" s="525" t="s">
        <v>781</v>
      </c>
      <c r="D133" s="526" t="str">
        <f>'THANG B.LUONG'!B73</f>
        <v>NV sale</v>
      </c>
      <c r="E133" s="512">
        <v>43299</v>
      </c>
      <c r="F133" s="527">
        <v>5</v>
      </c>
      <c r="G133" s="514">
        <f>DATEDIF(E133,$J$3,"y")</f>
        <v>0</v>
      </c>
      <c r="H133" s="514">
        <f>DATEDIF(E133,$J$3,"ym")</f>
        <v>1</v>
      </c>
      <c r="I133" s="515">
        <f>DATEDIF(E133,$J$3,"md")</f>
        <v>7</v>
      </c>
      <c r="J133" s="515">
        <f>VLOOKUP(D133,'THANG B.LUONG'!$B$5:$I$513,F133+1,0)</f>
        <v>0</v>
      </c>
      <c r="K133" s="515">
        <v>0</v>
      </c>
      <c r="L133" s="515">
        <v>0</v>
      </c>
      <c r="M133" s="515">
        <f t="shared" ref="M133" si="137">IF(G133&gt;=3,J133*(0.03+(G133-3)*0.01),0)</f>
        <v>0</v>
      </c>
      <c r="N133" s="515">
        <v>0</v>
      </c>
      <c r="O133" s="515">
        <v>0</v>
      </c>
      <c r="P133" s="515">
        <v>200</v>
      </c>
      <c r="Q133" s="515">
        <v>0</v>
      </c>
      <c r="R133" s="515">
        <v>0</v>
      </c>
      <c r="S133" s="515">
        <v>0</v>
      </c>
      <c r="T133" s="515">
        <v>0</v>
      </c>
      <c r="U133" s="515">
        <v>0</v>
      </c>
      <c r="V133" s="516">
        <f>(SUM(J133:U133)-P133)*0.85</f>
        <v>0</v>
      </c>
      <c r="W133" s="517" t="e">
        <f>VLOOKUP(B133,#REF!,35,0)</f>
        <v>#REF!</v>
      </c>
      <c r="X133" s="515" t="e">
        <f>VLOOKUP(B133,#REF!,37,0)</f>
        <v>#REF!</v>
      </c>
      <c r="Y133" s="518" t="e">
        <f>VLOOKUP(B133,#REF!,38,0)</f>
        <v>#REF!</v>
      </c>
      <c r="Z133" s="515" t="e">
        <f>VLOOKUP(B133,#REF!,72,0)</f>
        <v>#REF!</v>
      </c>
      <c r="AA133" s="515" t="e">
        <f>VLOOKUP(B133,#REF!,71,0)</f>
        <v>#REF!</v>
      </c>
      <c r="AB133" s="515" t="e">
        <f>VLOOKUP(B133,#REF!,36,0)</f>
        <v>#REF!</v>
      </c>
      <c r="AC133" s="515"/>
      <c r="AD133" s="519" t="e">
        <f>SUMIF(#REF!,'Luong VP'!B133,#REF!)</f>
        <v>#REF!</v>
      </c>
      <c r="AE133" s="320">
        <v>1500</v>
      </c>
      <c r="AF133" s="519"/>
      <c r="AG133" s="519"/>
      <c r="AH133" s="519"/>
      <c r="AI133" s="519"/>
      <c r="AJ133" s="528"/>
      <c r="AK133" s="516" t="e">
        <f>V133/#REF!*(W133+Z133/8*2+AA133/8*1.5+AB133*3)+J133/#REF!*(X133+Y133)+AC133+P133+AE133+AG133+AH133+AI133+AJ133</f>
        <v>#REF!</v>
      </c>
      <c r="AL133" s="515">
        <f>AM133*$AN$3</f>
        <v>0</v>
      </c>
      <c r="AM133" s="529"/>
      <c r="AN133" s="520" t="e">
        <f>VLOOKUP(B133,#REF!,75,0)</f>
        <v>#REF!</v>
      </c>
      <c r="AO133" s="520"/>
      <c r="AP133" s="521" t="e">
        <f t="shared" ref="AP133" si="138">ROUND(AK133-AL133-AN133+AO133,-1)</f>
        <v>#REF!</v>
      </c>
    </row>
    <row r="134" spans="1:53">
      <c r="A134" s="296"/>
      <c r="B134" s="271" t="s">
        <v>637</v>
      </c>
      <c r="C134" s="232" t="s">
        <v>634</v>
      </c>
      <c r="D134" s="233" t="str">
        <f>'THANG B.LUONG'!B72</f>
        <v>Trưởng sale TP</v>
      </c>
      <c r="E134" s="493">
        <v>43206</v>
      </c>
      <c r="F134" s="265">
        <v>7</v>
      </c>
      <c r="G134" s="266">
        <f>DATEDIF(E134,$J$3,"y")</f>
        <v>0</v>
      </c>
      <c r="H134" s="266">
        <f>DATEDIF(E134,$J$3,"ym")</f>
        <v>4</v>
      </c>
      <c r="I134" s="267">
        <f>DATEDIF(E134,$J$3,"md")</f>
        <v>9</v>
      </c>
      <c r="J134" s="267">
        <f>VLOOKUP(D134,'THANG B.LUONG'!$B$5:$I$513,F134+1,0)</f>
        <v>0</v>
      </c>
      <c r="K134" s="267">
        <v>0</v>
      </c>
      <c r="L134" s="267">
        <v>0</v>
      </c>
      <c r="M134" s="267">
        <f t="shared" si="134"/>
        <v>0</v>
      </c>
      <c r="N134" s="267">
        <v>0</v>
      </c>
      <c r="O134" s="267">
        <v>500</v>
      </c>
      <c r="P134" s="267">
        <v>300</v>
      </c>
      <c r="Q134" s="267">
        <v>500</v>
      </c>
      <c r="R134" s="267">
        <v>0</v>
      </c>
      <c r="S134" s="267">
        <v>0</v>
      </c>
      <c r="T134" s="267">
        <v>0</v>
      </c>
      <c r="U134" s="267">
        <v>0</v>
      </c>
      <c r="V134" s="268">
        <f t="shared" si="135"/>
        <v>1000</v>
      </c>
      <c r="W134" s="517" t="e">
        <f>VLOOKUP(B134,#REF!,35,0)</f>
        <v>#REF!</v>
      </c>
      <c r="X134" s="267" t="e">
        <f>VLOOKUP(B134,#REF!,37,0)</f>
        <v>#REF!</v>
      </c>
      <c r="Y134" s="270" t="e">
        <f>VLOOKUP(B134,#REF!,38,0)</f>
        <v>#REF!</v>
      </c>
      <c r="Z134" s="267" t="e">
        <f>VLOOKUP(B134,#REF!,72,0)</f>
        <v>#REF!</v>
      </c>
      <c r="AA134" s="267" t="e">
        <f>VLOOKUP(B134,#REF!,71,0)</f>
        <v>#REF!</v>
      </c>
      <c r="AB134" s="267" t="e">
        <f>VLOOKUP(B134,#REF!,36,0)</f>
        <v>#REF!</v>
      </c>
      <c r="AC134" s="267"/>
      <c r="AD134" s="271">
        <v>0</v>
      </c>
      <c r="AE134" s="271" t="e">
        <f>SUMIF(#REF!,'Luong VP'!B134,#REF!)</f>
        <v>#REF!</v>
      </c>
      <c r="AF134" s="271"/>
      <c r="AG134" s="271"/>
      <c r="AH134" s="271"/>
      <c r="AI134" s="271"/>
      <c r="AJ134" s="385"/>
      <c r="AK134" s="268" t="e">
        <f>V134/#REF!*(W134+Z134/8*2+AA134/8*1.5+AB134*3)+J134/#REF!*(X134+Y134)+AC134+P134+AE134+AG134+AH134+AI134+AJ134</f>
        <v>#REF!</v>
      </c>
      <c r="AL134" s="267">
        <f>AM134*$AN$3</f>
        <v>0</v>
      </c>
      <c r="AM134" s="414">
        <v>0</v>
      </c>
      <c r="AN134" s="272" t="e">
        <f>VLOOKUP(B134,#REF!,75,0)</f>
        <v>#REF!</v>
      </c>
      <c r="AO134" s="272"/>
      <c r="AP134" s="273" t="e">
        <f t="shared" si="136"/>
        <v>#REF!</v>
      </c>
    </row>
    <row r="135" spans="1:53" s="530" customFormat="1">
      <c r="A135" s="524"/>
      <c r="B135" s="519" t="s">
        <v>778</v>
      </c>
      <c r="C135" s="525" t="s">
        <v>779</v>
      </c>
      <c r="D135" s="526" t="str">
        <f>'THANG B.LUONG'!B72</f>
        <v>Trưởng sale TP</v>
      </c>
      <c r="E135" s="512">
        <v>43277</v>
      </c>
      <c r="F135" s="527">
        <v>7</v>
      </c>
      <c r="G135" s="514">
        <f>DATEDIF(E135,$J$3,"y")</f>
        <v>0</v>
      </c>
      <c r="H135" s="514">
        <f>DATEDIF(E135,$J$3,"ym")</f>
        <v>1</v>
      </c>
      <c r="I135" s="515">
        <f>DATEDIF(E135,$J$3,"md")</f>
        <v>30</v>
      </c>
      <c r="J135" s="515">
        <f>VLOOKUP(D135,'THANG B.LUONG'!$B$5:$I$513,F135+1,0)</f>
        <v>0</v>
      </c>
      <c r="K135" s="515">
        <v>0</v>
      </c>
      <c r="L135" s="515">
        <v>0</v>
      </c>
      <c r="M135" s="515">
        <f t="shared" ref="M135" si="139">IF(G135&gt;=3,J135*(0.03+(G135-3)*0.01),0)</f>
        <v>0</v>
      </c>
      <c r="N135" s="515">
        <v>0</v>
      </c>
      <c r="O135" s="515">
        <v>500</v>
      </c>
      <c r="P135" s="515">
        <v>300</v>
      </c>
      <c r="Q135" s="515">
        <v>500</v>
      </c>
      <c r="R135" s="515">
        <v>0</v>
      </c>
      <c r="S135" s="515">
        <v>0</v>
      </c>
      <c r="T135" s="515">
        <v>0</v>
      </c>
      <c r="U135" s="515">
        <v>0</v>
      </c>
      <c r="V135" s="516">
        <f>(SUM(J135:U135)-P135)*0.85</f>
        <v>850</v>
      </c>
      <c r="W135" s="517" t="e">
        <f>VLOOKUP(B135,#REF!,35,0)</f>
        <v>#REF!</v>
      </c>
      <c r="X135" s="515" t="e">
        <f>VLOOKUP(B135,#REF!,37,0)</f>
        <v>#REF!</v>
      </c>
      <c r="Y135" s="518" t="e">
        <f>VLOOKUP(B135,#REF!,38,0)</f>
        <v>#REF!</v>
      </c>
      <c r="Z135" s="515" t="e">
        <f>VLOOKUP(B135,#REF!,72,0)</f>
        <v>#REF!</v>
      </c>
      <c r="AA135" s="515" t="e">
        <f>VLOOKUP(B135,#REF!,71,0)</f>
        <v>#REF!</v>
      </c>
      <c r="AB135" s="515" t="e">
        <f>VLOOKUP(B135,#REF!,36,0)</f>
        <v>#REF!</v>
      </c>
      <c r="AC135" s="515"/>
      <c r="AD135" s="519">
        <v>0</v>
      </c>
      <c r="AE135" s="271" t="e">
        <f>SUMIF(#REF!,'Luong VP'!B135,#REF!)</f>
        <v>#REF!</v>
      </c>
      <c r="AF135" s="519"/>
      <c r="AG135" s="519"/>
      <c r="AH135" s="519"/>
      <c r="AI135" s="519"/>
      <c r="AJ135" s="528"/>
      <c r="AK135" s="516" t="e">
        <f>V135/#REF!*(W135+Z135/8*2+AA135/8*1.5+AB135*3)+J135/#REF!*(X135+Y135)+AC135+P135+AE135+AG135+AH135+AI135+AJ135</f>
        <v>#REF!</v>
      </c>
      <c r="AL135" s="515">
        <f>AM135*$AN$3</f>
        <v>0</v>
      </c>
      <c r="AM135" s="529">
        <v>0</v>
      </c>
      <c r="AN135" s="520" t="e">
        <f>VLOOKUP(B135,#REF!,75,0)</f>
        <v>#REF!</v>
      </c>
      <c r="AO135" s="520"/>
      <c r="AP135" s="521" t="e">
        <f t="shared" ref="AP135" si="140">ROUND(AK135-AL135-AN135+AO135,-1)</f>
        <v>#REF!</v>
      </c>
    </row>
    <row r="136" spans="1:53">
      <c r="A136" s="296"/>
      <c r="B136" s="271" t="s">
        <v>357</v>
      </c>
      <c r="C136" s="232" t="s">
        <v>434</v>
      </c>
      <c r="D136" s="233" t="s">
        <v>595</v>
      </c>
      <c r="E136" s="493">
        <v>39508</v>
      </c>
      <c r="F136" s="265">
        <v>4</v>
      </c>
      <c r="G136" s="266">
        <f>DATEDIF(E136,$J$3,"y")</f>
        <v>10</v>
      </c>
      <c r="H136" s="266">
        <f>DATEDIF(E136,$J$3,"ym")</f>
        <v>5</v>
      </c>
      <c r="I136" s="267">
        <f>DATEDIF(E136,$J$3,"md")</f>
        <v>24</v>
      </c>
      <c r="J136" s="267">
        <f>VLOOKUP(D136,'THANG B.LUONG'!$B$5:$I$513,F136+1,0)</f>
        <v>0</v>
      </c>
      <c r="K136" s="267">
        <v>0</v>
      </c>
      <c r="L136" s="267">
        <v>0</v>
      </c>
      <c r="M136" s="267">
        <f t="shared" si="134"/>
        <v>0</v>
      </c>
      <c r="N136" s="267">
        <v>0</v>
      </c>
      <c r="O136" s="267">
        <v>500</v>
      </c>
      <c r="P136" s="267">
        <v>200</v>
      </c>
      <c r="Q136" s="267">
        <v>500</v>
      </c>
      <c r="R136" s="267">
        <v>0</v>
      </c>
      <c r="S136" s="267">
        <v>0</v>
      </c>
      <c r="T136" s="267">
        <v>0</v>
      </c>
      <c r="U136" s="267">
        <v>0</v>
      </c>
      <c r="V136" s="268">
        <f>SUM(J136:U136)-P136</f>
        <v>1000</v>
      </c>
      <c r="W136" s="269" t="e">
        <f>VLOOKUP(B136,#REF!,35,0)</f>
        <v>#REF!</v>
      </c>
      <c r="X136" s="267" t="e">
        <f>VLOOKUP(B136,#REF!,37,0)</f>
        <v>#REF!</v>
      </c>
      <c r="Y136" s="270" t="e">
        <f>VLOOKUP(B136,#REF!,38,0)</f>
        <v>#REF!</v>
      </c>
      <c r="Z136" s="267" t="e">
        <f>VLOOKUP(B136,#REF!,72,0)</f>
        <v>#REF!</v>
      </c>
      <c r="AA136" s="267" t="e">
        <f>VLOOKUP(B136,#REF!,71,0)</f>
        <v>#REF!</v>
      </c>
      <c r="AB136" s="267" t="e">
        <f>VLOOKUP(B136,#REF!,36,0)</f>
        <v>#REF!</v>
      </c>
      <c r="AC136" s="267" t="e">
        <f>VLOOKUP(B136,#REF!,50,0)</f>
        <v>#REF!</v>
      </c>
      <c r="AD136" s="271">
        <v>0</v>
      </c>
      <c r="AE136" s="271" t="e">
        <f>SUMIF(#REF!,'Luong VP'!B136,#REF!)</f>
        <v>#REF!</v>
      </c>
      <c r="AF136" s="271"/>
      <c r="AG136" s="271"/>
      <c r="AH136" s="271"/>
      <c r="AI136" s="385"/>
      <c r="AJ136" s="385"/>
      <c r="AK136" s="268" t="e">
        <f>V136/#REF!*(W136+Z136/8*2+AA136/8*1.5+AB136*3)+J136/#REF!*(X136+Y136)+AC136+P136+AE136+AG136+AH136+AI136+AJ136</f>
        <v>#REF!</v>
      </c>
      <c r="AL136" s="267">
        <f>AM136*$AN$3</f>
        <v>504</v>
      </c>
      <c r="AM136" s="414">
        <v>4800</v>
      </c>
      <c r="AN136" s="272" t="e">
        <f>VLOOKUP(B136,#REF!,75,0)</f>
        <v>#REF!</v>
      </c>
      <c r="AO136" s="272"/>
      <c r="AP136" s="273" t="e">
        <f t="shared" si="136"/>
        <v>#REF!</v>
      </c>
    </row>
    <row r="137" spans="1:53">
      <c r="A137" s="297"/>
      <c r="B137" s="271" t="s">
        <v>362</v>
      </c>
      <c r="C137" s="232" t="s">
        <v>437</v>
      </c>
      <c r="D137" s="233" t="s">
        <v>595</v>
      </c>
      <c r="E137" s="493">
        <v>42639</v>
      </c>
      <c r="F137" s="265">
        <v>2</v>
      </c>
      <c r="G137" s="266">
        <f t="shared" si="131"/>
        <v>1</v>
      </c>
      <c r="H137" s="266">
        <f t="shared" si="132"/>
        <v>10</v>
      </c>
      <c r="I137" s="267">
        <f t="shared" si="133"/>
        <v>30</v>
      </c>
      <c r="J137" s="267">
        <f>VLOOKUP(D137,'THANG B.LUONG'!$B$5:$I$513,F137+1,0)</f>
        <v>0</v>
      </c>
      <c r="K137" s="267">
        <v>0</v>
      </c>
      <c r="L137" s="267">
        <v>0</v>
      </c>
      <c r="M137" s="267">
        <f t="shared" si="134"/>
        <v>0</v>
      </c>
      <c r="N137" s="267">
        <v>0</v>
      </c>
      <c r="O137" s="267">
        <v>500</v>
      </c>
      <c r="P137" s="267">
        <v>200</v>
      </c>
      <c r="Q137" s="267">
        <v>500</v>
      </c>
      <c r="R137" s="267">
        <v>0</v>
      </c>
      <c r="S137" s="267">
        <v>0</v>
      </c>
      <c r="T137" s="267">
        <v>0</v>
      </c>
      <c r="U137" s="267">
        <v>0</v>
      </c>
      <c r="V137" s="268">
        <f t="shared" si="135"/>
        <v>1000</v>
      </c>
      <c r="W137" s="269" t="e">
        <f>VLOOKUP(B137,#REF!,35,0)</f>
        <v>#REF!</v>
      </c>
      <c r="X137" s="267" t="e">
        <f>VLOOKUP(B137,#REF!,37,0)</f>
        <v>#REF!</v>
      </c>
      <c r="Y137" s="270" t="e">
        <f>VLOOKUP(B137,#REF!,38,0)</f>
        <v>#REF!</v>
      </c>
      <c r="Z137" s="267" t="e">
        <f>VLOOKUP(B137,#REF!,72,0)</f>
        <v>#REF!</v>
      </c>
      <c r="AA137" s="267" t="e">
        <f>VLOOKUP(B137,#REF!,71,0)</f>
        <v>#REF!</v>
      </c>
      <c r="AB137" s="267" t="e">
        <f>VLOOKUP(B137,#REF!,36,0)</f>
        <v>#REF!</v>
      </c>
      <c r="AC137" s="267" t="e">
        <f>VLOOKUP(B137,#REF!,50,0)</f>
        <v>#REF!</v>
      </c>
      <c r="AD137" s="271">
        <v>0</v>
      </c>
      <c r="AE137" s="271" t="e">
        <f>SUMIF(#REF!,'Luong VP'!B137,#REF!)</f>
        <v>#REF!</v>
      </c>
      <c r="AF137" s="271"/>
      <c r="AG137" s="271"/>
      <c r="AH137" s="271"/>
      <c r="AI137" s="271"/>
      <c r="AJ137" s="271"/>
      <c r="AK137" s="268" t="e">
        <f>V137/#REF!*(W137+Z137/8*2+AA137/8*1.5+AB137*3)+J137/#REF!*(X137+Y137)+AC137+P137+AE137+AG137+AH137+AI137+AJ137</f>
        <v>#REF!</v>
      </c>
      <c r="AL137" s="267">
        <f t="shared" si="129"/>
        <v>504</v>
      </c>
      <c r="AM137" s="414">
        <v>4800</v>
      </c>
      <c r="AN137" s="272" t="e">
        <f>VLOOKUP(B137,#REF!,75,0)</f>
        <v>#REF!</v>
      </c>
      <c r="AO137" s="272"/>
      <c r="AP137" s="273" t="e">
        <f t="shared" si="136"/>
        <v>#REF!</v>
      </c>
    </row>
    <row r="138" spans="1:53">
      <c r="A138" s="297"/>
      <c r="B138" s="271" t="s">
        <v>363</v>
      </c>
      <c r="C138" s="232" t="s">
        <v>438</v>
      </c>
      <c r="D138" s="233" t="s">
        <v>595</v>
      </c>
      <c r="E138" s="493">
        <v>42786</v>
      </c>
      <c r="F138" s="265">
        <v>2</v>
      </c>
      <c r="G138" s="266">
        <f t="shared" si="131"/>
        <v>1</v>
      </c>
      <c r="H138" s="266">
        <f t="shared" si="132"/>
        <v>6</v>
      </c>
      <c r="I138" s="267">
        <f t="shared" si="133"/>
        <v>5</v>
      </c>
      <c r="J138" s="267">
        <f>VLOOKUP(D138,'THANG B.LUONG'!$B$5:$I$513,F138+1,0)</f>
        <v>0</v>
      </c>
      <c r="K138" s="267">
        <v>0</v>
      </c>
      <c r="L138" s="267">
        <v>0</v>
      </c>
      <c r="M138" s="267">
        <f t="shared" si="134"/>
        <v>0</v>
      </c>
      <c r="N138" s="267">
        <v>0</v>
      </c>
      <c r="O138" s="267">
        <v>500</v>
      </c>
      <c r="P138" s="267">
        <v>200</v>
      </c>
      <c r="Q138" s="267">
        <v>500</v>
      </c>
      <c r="R138" s="267">
        <v>0</v>
      </c>
      <c r="S138" s="267">
        <v>0</v>
      </c>
      <c r="T138" s="267">
        <v>0</v>
      </c>
      <c r="U138" s="267">
        <v>0</v>
      </c>
      <c r="V138" s="268">
        <f t="shared" si="135"/>
        <v>1000</v>
      </c>
      <c r="W138" s="269" t="e">
        <f>VLOOKUP(B138,#REF!,35,0)</f>
        <v>#REF!</v>
      </c>
      <c r="X138" s="267" t="e">
        <f>VLOOKUP(B138,#REF!,37,0)</f>
        <v>#REF!</v>
      </c>
      <c r="Y138" s="270" t="e">
        <f>VLOOKUP(B138,#REF!,38,0)</f>
        <v>#REF!</v>
      </c>
      <c r="Z138" s="267" t="e">
        <f>VLOOKUP(B138,#REF!,72,0)</f>
        <v>#REF!</v>
      </c>
      <c r="AA138" s="267" t="e">
        <f>VLOOKUP(B138,#REF!,71,0)</f>
        <v>#REF!</v>
      </c>
      <c r="AB138" s="267" t="e">
        <f>VLOOKUP(B138,#REF!,36,0)</f>
        <v>#REF!</v>
      </c>
      <c r="AC138" s="267"/>
      <c r="AD138" s="271">
        <v>0</v>
      </c>
      <c r="AE138" s="271" t="e">
        <f>SUMIF(#REF!,'Luong VP'!B138,#REF!)</f>
        <v>#REF!</v>
      </c>
      <c r="AF138" s="271"/>
      <c r="AG138" s="271"/>
      <c r="AH138" s="271"/>
      <c r="AI138" s="271"/>
      <c r="AJ138" s="271"/>
      <c r="AK138" s="268" t="e">
        <f>V138/#REF!*(W138+Z138/8*2+AA138/8*1.5+AB138*3)+J138/#REF!*(X138+Y138)+AC138+P138+AE138+AG138+AH138+AI138+AJ138</f>
        <v>#REF!</v>
      </c>
      <c r="AL138" s="267">
        <f t="shared" si="129"/>
        <v>504</v>
      </c>
      <c r="AM138" s="414">
        <v>4800</v>
      </c>
      <c r="AN138" s="272" t="e">
        <f>VLOOKUP(B138,#REF!,75,0)</f>
        <v>#REF!</v>
      </c>
      <c r="AO138" s="272"/>
      <c r="AP138" s="273" t="e">
        <f t="shared" si="136"/>
        <v>#REF!</v>
      </c>
      <c r="BA138" s="452" t="s">
        <v>569</v>
      </c>
    </row>
    <row r="139" spans="1:53">
      <c r="A139" s="296"/>
      <c r="B139" s="271" t="s">
        <v>638</v>
      </c>
      <c r="C139" s="232" t="s">
        <v>635</v>
      </c>
      <c r="D139" s="233" t="str">
        <f>'THANG B.LUONG'!B74</f>
        <v>Trưởng sale Tỉnh</v>
      </c>
      <c r="E139" s="493">
        <v>43206</v>
      </c>
      <c r="F139" s="265">
        <v>7</v>
      </c>
      <c r="G139" s="266">
        <f t="shared" ref="G139:G152" si="141">DATEDIF(E139,$J$3,"y")</f>
        <v>0</v>
      </c>
      <c r="H139" s="266">
        <f t="shared" ref="H139:H152" si="142">DATEDIF(E139,$J$3,"ym")</f>
        <v>4</v>
      </c>
      <c r="I139" s="267">
        <f t="shared" ref="I139:I152" si="143">DATEDIF(E139,$J$3,"md")</f>
        <v>9</v>
      </c>
      <c r="J139" s="267">
        <f>VLOOKUP(D139,'THANG B.LUONG'!$B$5:$I$513,F139+1,0)</f>
        <v>0</v>
      </c>
      <c r="K139" s="267">
        <v>0</v>
      </c>
      <c r="L139" s="267">
        <v>0</v>
      </c>
      <c r="M139" s="267">
        <f t="shared" si="134"/>
        <v>0</v>
      </c>
      <c r="N139" s="267">
        <v>0</v>
      </c>
      <c r="O139" s="267">
        <v>500</v>
      </c>
      <c r="P139" s="267">
        <v>300</v>
      </c>
      <c r="Q139" s="267">
        <v>500</v>
      </c>
      <c r="R139" s="267">
        <v>0</v>
      </c>
      <c r="S139" s="267">
        <v>0</v>
      </c>
      <c r="T139" s="267">
        <v>0</v>
      </c>
      <c r="U139" s="267">
        <v>0</v>
      </c>
      <c r="V139" s="268">
        <f t="shared" si="135"/>
        <v>1000</v>
      </c>
      <c r="W139" s="269" t="e">
        <f>VLOOKUP(B139,#REF!,35,0)</f>
        <v>#REF!</v>
      </c>
      <c r="X139" s="267" t="e">
        <f>VLOOKUP(B139,#REF!,37,0)</f>
        <v>#REF!</v>
      </c>
      <c r="Y139" s="270" t="e">
        <f>VLOOKUP(B139,#REF!,38,0)</f>
        <v>#REF!</v>
      </c>
      <c r="Z139" s="267" t="e">
        <f>VLOOKUP(B139,#REF!,72,0)</f>
        <v>#REF!</v>
      </c>
      <c r="AA139" s="267" t="e">
        <f>VLOOKUP(B139,#REF!,71,0)</f>
        <v>#REF!</v>
      </c>
      <c r="AB139" s="267" t="e">
        <f>VLOOKUP(B139,#REF!,36,0)</f>
        <v>#REF!</v>
      </c>
      <c r="AC139" s="267"/>
      <c r="AD139" s="271">
        <v>0</v>
      </c>
      <c r="AE139" s="271" t="e">
        <f>SUMIF(#REF!,'Luong VP'!B139,#REF!)</f>
        <v>#REF!</v>
      </c>
      <c r="AF139" s="271"/>
      <c r="AG139" s="271"/>
      <c r="AH139" s="271"/>
      <c r="AI139" s="271"/>
      <c r="AJ139" s="385"/>
      <c r="AK139" s="268" t="e">
        <f>V139/#REF!*(W139+Z139/8*2+AA139/8*1.5+AB139*3)+J139/#REF!*(X139+Y139)+AC139+P139+AE139+AG139+AH139+AI139+AJ139</f>
        <v>#REF!</v>
      </c>
      <c r="AL139" s="267">
        <f t="shared" ref="AL139:AL152" si="144">AM139*$AN$3</f>
        <v>0</v>
      </c>
      <c r="AM139" s="414">
        <v>0</v>
      </c>
      <c r="AN139" s="272" t="e">
        <f>VLOOKUP(B139,#REF!,75,0)</f>
        <v>#REF!</v>
      </c>
      <c r="AO139" s="272"/>
      <c r="AP139" s="273" t="e">
        <f>ROUND(AK139-AL139-AN139+AO139,-1)</f>
        <v>#REF!</v>
      </c>
    </row>
    <row r="140" spans="1:53">
      <c r="A140" s="296"/>
      <c r="B140" s="271" t="s">
        <v>722</v>
      </c>
      <c r="C140" s="232" t="s">
        <v>720</v>
      </c>
      <c r="D140" s="233" t="str">
        <f>D137</f>
        <v>NV sale</v>
      </c>
      <c r="E140" s="493">
        <v>43229</v>
      </c>
      <c r="F140" s="265">
        <v>2</v>
      </c>
      <c r="G140" s="266">
        <f t="shared" ref="G140" si="145">DATEDIF(E140,$J$3,"y")</f>
        <v>0</v>
      </c>
      <c r="H140" s="266">
        <f t="shared" ref="H140" si="146">DATEDIF(E140,$J$3,"ym")</f>
        <v>3</v>
      </c>
      <c r="I140" s="267">
        <f t="shared" ref="I140" si="147">DATEDIF(E140,$J$3,"md")</f>
        <v>16</v>
      </c>
      <c r="J140" s="267">
        <f>VLOOKUP(D140,'THANG B.LUONG'!$B$5:$I$513,F140+1,0)</f>
        <v>0</v>
      </c>
      <c r="K140" s="267">
        <v>0</v>
      </c>
      <c r="L140" s="267">
        <v>0</v>
      </c>
      <c r="M140" s="267">
        <f t="shared" ref="M140" si="148">IF(G140&gt;=3,J140*(0.03+(G140-3)*0.01),0)</f>
        <v>0</v>
      </c>
      <c r="N140" s="267">
        <v>0</v>
      </c>
      <c r="O140" s="267">
        <v>500</v>
      </c>
      <c r="P140" s="267">
        <v>200</v>
      </c>
      <c r="Q140" s="267">
        <v>500</v>
      </c>
      <c r="R140" s="267">
        <v>0</v>
      </c>
      <c r="S140" s="267">
        <v>0</v>
      </c>
      <c r="T140" s="267">
        <v>0</v>
      </c>
      <c r="U140" s="267">
        <v>0</v>
      </c>
      <c r="V140" s="508">
        <f>SUM(J140:U140)-P140</f>
        <v>1000</v>
      </c>
      <c r="W140" s="269" t="e">
        <f>VLOOKUP(B140,#REF!,35,0)</f>
        <v>#REF!</v>
      </c>
      <c r="X140" s="267" t="e">
        <f>VLOOKUP(B140,#REF!,37,0)</f>
        <v>#REF!</v>
      </c>
      <c r="Y140" s="270" t="e">
        <f>VLOOKUP(B140,#REF!,38,0)</f>
        <v>#REF!</v>
      </c>
      <c r="Z140" s="267" t="e">
        <f>VLOOKUP(B140,#REF!,72,0)</f>
        <v>#REF!</v>
      </c>
      <c r="AA140" s="267" t="e">
        <f>VLOOKUP(B140,#REF!,71,0)</f>
        <v>#REF!</v>
      </c>
      <c r="AB140" s="267" t="e">
        <f>VLOOKUP(B140,#REF!,36,0)</f>
        <v>#REF!</v>
      </c>
      <c r="AC140" s="267"/>
      <c r="AD140" s="271">
        <v>0</v>
      </c>
      <c r="AE140" s="271" t="e">
        <f>SUMIF(#REF!,'Luong VP'!B140,#REF!)</f>
        <v>#REF!</v>
      </c>
      <c r="AF140" s="271"/>
      <c r="AG140" s="271"/>
      <c r="AH140" s="271"/>
      <c r="AI140" s="271"/>
      <c r="AJ140" s="385"/>
      <c r="AK140" s="268" t="e">
        <f>V140/#REF!*(W140+Z140/8*2+AA140/8*1.5+AB140*3)+J140/#REF!*(X140+Y140)+AC140+P140+AE140+AG140+AH140+AI140+AJ140</f>
        <v>#REF!</v>
      </c>
      <c r="AL140" s="267">
        <f t="shared" ref="AL140" si="149">AM140*$AN$3</f>
        <v>0</v>
      </c>
      <c r="AM140" s="414">
        <v>0</v>
      </c>
      <c r="AN140" s="272" t="e">
        <f>VLOOKUP(B140,#REF!,75,0)</f>
        <v>#REF!</v>
      </c>
      <c r="AO140" s="272"/>
      <c r="AP140" s="273" t="e">
        <f t="shared" ref="AP140" si="150">ROUND(AK140-AL140-AN140+AO140,-1)</f>
        <v>#REF!</v>
      </c>
    </row>
    <row r="141" spans="1:53">
      <c r="A141" s="296"/>
      <c r="B141" s="271" t="s">
        <v>723</v>
      </c>
      <c r="C141" s="232" t="s">
        <v>721</v>
      </c>
      <c r="D141" s="233" t="str">
        <f>D140</f>
        <v>NV sale</v>
      </c>
      <c r="E141" s="493">
        <v>43231</v>
      </c>
      <c r="F141" s="265">
        <v>2</v>
      </c>
      <c r="G141" s="266">
        <f t="shared" ref="G141" si="151">DATEDIF(E141,$J$3,"y")</f>
        <v>0</v>
      </c>
      <c r="H141" s="266">
        <f t="shared" ref="H141" si="152">DATEDIF(E141,$J$3,"ym")</f>
        <v>3</v>
      </c>
      <c r="I141" s="267">
        <f t="shared" ref="I141" si="153">DATEDIF(E141,$J$3,"md")</f>
        <v>14</v>
      </c>
      <c r="J141" s="267">
        <f>VLOOKUP(D141,'THANG B.LUONG'!$B$5:$I$513,F141+1,0)</f>
        <v>0</v>
      </c>
      <c r="K141" s="267">
        <v>0</v>
      </c>
      <c r="L141" s="267">
        <v>0</v>
      </c>
      <c r="M141" s="267">
        <f t="shared" ref="M141" si="154">IF(G141&gt;=3,J141*(0.03+(G141-3)*0.01),0)</f>
        <v>0</v>
      </c>
      <c r="N141" s="267">
        <v>0</v>
      </c>
      <c r="O141" s="267">
        <v>500</v>
      </c>
      <c r="P141" s="267">
        <v>200</v>
      </c>
      <c r="Q141" s="267">
        <v>500</v>
      </c>
      <c r="R141" s="267">
        <v>0</v>
      </c>
      <c r="S141" s="267">
        <v>0</v>
      </c>
      <c r="T141" s="267">
        <v>0</v>
      </c>
      <c r="U141" s="267">
        <v>0</v>
      </c>
      <c r="V141" s="508">
        <f>SUM(J141:U141)-P141</f>
        <v>1000</v>
      </c>
      <c r="W141" s="269" t="e">
        <f>VLOOKUP(B141,#REF!,35,0)</f>
        <v>#REF!</v>
      </c>
      <c r="X141" s="267" t="e">
        <f>VLOOKUP(B141,#REF!,37,0)</f>
        <v>#REF!</v>
      </c>
      <c r="Y141" s="270" t="e">
        <f>VLOOKUP(B141,#REF!,38,0)</f>
        <v>#REF!</v>
      </c>
      <c r="Z141" s="267" t="e">
        <f>VLOOKUP(B141,#REF!,72,0)</f>
        <v>#REF!</v>
      </c>
      <c r="AA141" s="267" t="e">
        <f>VLOOKUP(B141,#REF!,71,0)</f>
        <v>#REF!</v>
      </c>
      <c r="AB141" s="267" t="e">
        <f>VLOOKUP(B141,#REF!,36,0)</f>
        <v>#REF!</v>
      </c>
      <c r="AC141" s="267"/>
      <c r="AD141" s="271">
        <v>0</v>
      </c>
      <c r="AE141" s="271" t="e">
        <f>SUMIF(#REF!,'Luong VP'!B141,#REF!)</f>
        <v>#REF!</v>
      </c>
      <c r="AF141" s="271"/>
      <c r="AG141" s="271"/>
      <c r="AH141" s="271"/>
      <c r="AI141" s="271"/>
      <c r="AJ141" s="385"/>
      <c r="AK141" s="268" t="e">
        <f>V141/#REF!*(W141+Z141/8*2+AA141/8*1.5+AB141*3)+J141/#REF!*(X141+Y141)+AC141+P141+AE141+AG141+AH141+AI141+AJ141</f>
        <v>#REF!</v>
      </c>
      <c r="AL141" s="267">
        <f t="shared" ref="AL141" si="155">AM141*$AN$3</f>
        <v>0</v>
      </c>
      <c r="AM141" s="414">
        <v>0</v>
      </c>
      <c r="AN141" s="272" t="e">
        <f>VLOOKUP(B141,#REF!,75,0)</f>
        <v>#REF!</v>
      </c>
      <c r="AO141" s="272"/>
      <c r="AP141" s="543" t="e">
        <f t="shared" ref="AP141" si="156">ROUND(AK141-AL141-AN141+AO141,-1)</f>
        <v>#REF!</v>
      </c>
    </row>
    <row r="142" spans="1:53">
      <c r="A142" s="296"/>
      <c r="B142" s="271" t="s">
        <v>724</v>
      </c>
      <c r="C142" s="232" t="s">
        <v>726</v>
      </c>
      <c r="D142" s="233" t="str">
        <f>D140</f>
        <v>NV sale</v>
      </c>
      <c r="E142" s="493">
        <v>43244</v>
      </c>
      <c r="F142" s="265">
        <v>2</v>
      </c>
      <c r="G142" s="266">
        <f t="shared" si="141"/>
        <v>0</v>
      </c>
      <c r="H142" s="266">
        <f t="shared" si="142"/>
        <v>3</v>
      </c>
      <c r="I142" s="267">
        <f t="shared" si="143"/>
        <v>1</v>
      </c>
      <c r="J142" s="267">
        <f>VLOOKUP(D142,'THANG B.LUONG'!$B$5:$I$513,F142+1,0)</f>
        <v>0</v>
      </c>
      <c r="K142" s="267">
        <v>0</v>
      </c>
      <c r="L142" s="267">
        <v>0</v>
      </c>
      <c r="M142" s="267">
        <f t="shared" si="134"/>
        <v>0</v>
      </c>
      <c r="N142" s="267">
        <v>0</v>
      </c>
      <c r="O142" s="267">
        <v>500</v>
      </c>
      <c r="P142" s="267">
        <v>200</v>
      </c>
      <c r="Q142" s="267">
        <v>500</v>
      </c>
      <c r="R142" s="267">
        <v>0</v>
      </c>
      <c r="S142" s="267">
        <v>0</v>
      </c>
      <c r="T142" s="267">
        <v>0</v>
      </c>
      <c r="U142" s="267">
        <v>0</v>
      </c>
      <c r="V142" s="268">
        <f>SUM(J142:U142)-P142</f>
        <v>1000</v>
      </c>
      <c r="W142" s="269" t="e">
        <f>VLOOKUP(B142,#REF!,35,0)</f>
        <v>#REF!</v>
      </c>
      <c r="X142" s="267" t="e">
        <f>VLOOKUP(B142,#REF!,37,0)</f>
        <v>#REF!</v>
      </c>
      <c r="Y142" s="270" t="e">
        <f>VLOOKUP(B142,#REF!,38,0)</f>
        <v>#REF!</v>
      </c>
      <c r="Z142" s="267" t="e">
        <f>VLOOKUP(B142,#REF!,72,0)</f>
        <v>#REF!</v>
      </c>
      <c r="AA142" s="267" t="e">
        <f>VLOOKUP(B142,#REF!,71,0)</f>
        <v>#REF!</v>
      </c>
      <c r="AB142" s="267" t="e">
        <f>VLOOKUP(B142,#REF!,36,0)</f>
        <v>#REF!</v>
      </c>
      <c r="AC142" s="267"/>
      <c r="AD142" s="271">
        <v>0</v>
      </c>
      <c r="AE142" s="320">
        <v>1500</v>
      </c>
      <c r="AF142" s="271"/>
      <c r="AG142" s="271"/>
      <c r="AH142" s="271"/>
      <c r="AI142" s="271"/>
      <c r="AJ142" s="385"/>
      <c r="AK142" s="268" t="e">
        <f>V142/#REF!*(W142+Z142/8*2+AA142/8*1.5+AB142*3)+J142/#REF!*(X142+Y142)+AC142+P142+AE142+AG142+AH142+AI142+AJ142</f>
        <v>#REF!</v>
      </c>
      <c r="AL142" s="267">
        <f t="shared" si="144"/>
        <v>0</v>
      </c>
      <c r="AM142" s="414">
        <v>0</v>
      </c>
      <c r="AN142" s="272" t="e">
        <f>VLOOKUP(B142,#REF!,75,0)</f>
        <v>#REF!</v>
      </c>
      <c r="AO142" s="272"/>
      <c r="AP142" s="273" t="e">
        <f t="shared" ref="AP142:AP143" si="157">ROUND(AK142-AL142-AN142+AO142,-1)</f>
        <v>#REF!</v>
      </c>
    </row>
    <row r="143" spans="1:53">
      <c r="A143" s="296"/>
      <c r="B143" s="271" t="s">
        <v>725</v>
      </c>
      <c r="C143" s="232" t="s">
        <v>727</v>
      </c>
      <c r="D143" s="233" t="str">
        <f>D142</f>
        <v>NV sale</v>
      </c>
      <c r="E143" s="493">
        <v>43245</v>
      </c>
      <c r="F143" s="265">
        <v>2</v>
      </c>
      <c r="G143" s="266">
        <f t="shared" si="141"/>
        <v>0</v>
      </c>
      <c r="H143" s="266">
        <f t="shared" si="142"/>
        <v>3</v>
      </c>
      <c r="I143" s="267">
        <f t="shared" si="143"/>
        <v>0</v>
      </c>
      <c r="J143" s="267">
        <f>VLOOKUP(D143,'THANG B.LUONG'!$B$5:$I$513,F143+1,0)</f>
        <v>0</v>
      </c>
      <c r="K143" s="267">
        <v>0</v>
      </c>
      <c r="L143" s="267">
        <v>0</v>
      </c>
      <c r="M143" s="267">
        <f t="shared" si="134"/>
        <v>0</v>
      </c>
      <c r="N143" s="267">
        <v>0</v>
      </c>
      <c r="O143" s="267">
        <v>500</v>
      </c>
      <c r="P143" s="267">
        <v>200</v>
      </c>
      <c r="Q143" s="267">
        <v>500</v>
      </c>
      <c r="R143" s="267">
        <v>0</v>
      </c>
      <c r="S143" s="267">
        <v>0</v>
      </c>
      <c r="T143" s="267">
        <v>0</v>
      </c>
      <c r="U143" s="267">
        <v>0</v>
      </c>
      <c r="V143" s="268">
        <f>SUM(J143:U143)-P143</f>
        <v>1000</v>
      </c>
      <c r="W143" s="269" t="e">
        <f>VLOOKUP(B143,#REF!,35,0)</f>
        <v>#REF!</v>
      </c>
      <c r="X143" s="267" t="e">
        <f>VLOOKUP(B143,#REF!,37,0)</f>
        <v>#REF!</v>
      </c>
      <c r="Y143" s="270" t="e">
        <f>VLOOKUP(B143,#REF!,38,0)</f>
        <v>#REF!</v>
      </c>
      <c r="Z143" s="267" t="e">
        <f>VLOOKUP(B143,#REF!,72,0)</f>
        <v>#REF!</v>
      </c>
      <c r="AA143" s="267" t="e">
        <f>VLOOKUP(B143,#REF!,71,0)</f>
        <v>#REF!</v>
      </c>
      <c r="AB143" s="267" t="e">
        <f>VLOOKUP(B143,#REF!,36,0)</f>
        <v>#REF!</v>
      </c>
      <c r="AC143" s="267"/>
      <c r="AD143" s="271">
        <v>0</v>
      </c>
      <c r="AE143" s="320">
        <v>1500</v>
      </c>
      <c r="AF143" s="271"/>
      <c r="AG143" s="271"/>
      <c r="AH143" s="271"/>
      <c r="AI143" s="271"/>
      <c r="AJ143" s="385"/>
      <c r="AK143" s="268" t="e">
        <f>V143/#REF!*(W143+Z143/8*2+AA143/8*1.5+AB143*3)+J143/#REF!*(X143+Y143)+AC143+P143+AE143+AG143+AH143+AI143+AJ143</f>
        <v>#REF!</v>
      </c>
      <c r="AL143" s="267">
        <f t="shared" si="144"/>
        <v>0</v>
      </c>
      <c r="AM143" s="414">
        <v>0</v>
      </c>
      <c r="AN143" s="272" t="e">
        <f>VLOOKUP(B143,#REF!,75,0)</f>
        <v>#REF!</v>
      </c>
      <c r="AO143" s="272"/>
      <c r="AP143" s="273" t="e">
        <f t="shared" si="157"/>
        <v>#REF!</v>
      </c>
    </row>
    <row r="144" spans="1:53" s="530" customFormat="1" ht="12" customHeight="1">
      <c r="A144" s="549"/>
      <c r="B144" s="519" t="s">
        <v>633</v>
      </c>
      <c r="C144" s="525" t="s">
        <v>636</v>
      </c>
      <c r="D144" s="526" t="s">
        <v>595</v>
      </c>
      <c r="E144" s="512">
        <v>43262</v>
      </c>
      <c r="F144" s="513">
        <v>2</v>
      </c>
      <c r="G144" s="514">
        <f t="shared" si="141"/>
        <v>0</v>
      </c>
      <c r="H144" s="514">
        <f t="shared" si="142"/>
        <v>2</v>
      </c>
      <c r="I144" s="515">
        <f t="shared" si="143"/>
        <v>14</v>
      </c>
      <c r="J144" s="515">
        <f>VLOOKUP(D144,'THANG B.LUONG'!$B$5:$I$513,F144+1,0)</f>
        <v>0</v>
      </c>
      <c r="K144" s="515">
        <v>0</v>
      </c>
      <c r="L144" s="515">
        <v>0</v>
      </c>
      <c r="M144" s="515">
        <f t="shared" si="134"/>
        <v>0</v>
      </c>
      <c r="N144" s="515">
        <v>0</v>
      </c>
      <c r="O144" s="515">
        <v>500</v>
      </c>
      <c r="P144" s="515">
        <v>200</v>
      </c>
      <c r="Q144" s="515">
        <v>500</v>
      </c>
      <c r="R144" s="515">
        <v>0</v>
      </c>
      <c r="S144" s="515">
        <v>0</v>
      </c>
      <c r="T144" s="515">
        <v>0</v>
      </c>
      <c r="U144" s="515">
        <v>0</v>
      </c>
      <c r="V144" s="516">
        <f>(SUM(J144:U144)-P144)*0.85</f>
        <v>850</v>
      </c>
      <c r="W144" s="517" t="e">
        <f>VLOOKUP(B144,#REF!,35,0)</f>
        <v>#REF!</v>
      </c>
      <c r="X144" s="515" t="e">
        <f>VLOOKUP(B144,#REF!,37,0)</f>
        <v>#REF!</v>
      </c>
      <c r="Y144" s="518" t="e">
        <f>VLOOKUP(B144,#REF!,38,0)</f>
        <v>#REF!</v>
      </c>
      <c r="Z144" s="515" t="e">
        <f>VLOOKUP(B144,#REF!,72,0)</f>
        <v>#REF!</v>
      </c>
      <c r="AA144" s="515" t="e">
        <f>VLOOKUP(B144,#REF!,71,0)</f>
        <v>#REF!</v>
      </c>
      <c r="AB144" s="515" t="e">
        <f>VLOOKUP(B144,#REF!,36,0)</f>
        <v>#REF!</v>
      </c>
      <c r="AC144" s="515"/>
      <c r="AD144" s="519">
        <v>0</v>
      </c>
      <c r="AE144" s="519" t="e">
        <f>SUMIF(#REF!,'Luong VP'!B144,#REF!)</f>
        <v>#REF!</v>
      </c>
      <c r="AF144" s="519"/>
      <c r="AG144" s="519"/>
      <c r="AH144" s="519"/>
      <c r="AI144" s="519"/>
      <c r="AJ144" s="528">
        <v>0</v>
      </c>
      <c r="AK144" s="516" t="e">
        <f>V144/#REF!*(W144+Z144/8*2+AA144/8*1.5+AB144*3)+J144/#REF!*(X144+Y144)+AC144+P144+AE144+AG144+AH144+AI144+AJ144</f>
        <v>#REF!</v>
      </c>
      <c r="AL144" s="515">
        <f t="shared" si="144"/>
        <v>0</v>
      </c>
      <c r="AM144" s="529">
        <v>0</v>
      </c>
      <c r="AN144" s="520" t="e">
        <f>VLOOKUP(B144,#REF!,75,0)</f>
        <v>#REF!</v>
      </c>
      <c r="AO144" s="520"/>
      <c r="AP144" s="521" t="e">
        <f>ROUND(AK144-AL144-AN144+AO144,-1)</f>
        <v>#REF!</v>
      </c>
    </row>
    <row r="145" spans="1:42" s="530" customFormat="1" ht="12" customHeight="1">
      <c r="A145" s="549"/>
      <c r="B145" s="519" t="s">
        <v>763</v>
      </c>
      <c r="C145" s="525" t="s">
        <v>764</v>
      </c>
      <c r="D145" s="526" t="s">
        <v>595</v>
      </c>
      <c r="E145" s="512">
        <v>43262</v>
      </c>
      <c r="F145" s="513">
        <v>2</v>
      </c>
      <c r="G145" s="514">
        <f t="shared" si="141"/>
        <v>0</v>
      </c>
      <c r="H145" s="514">
        <f t="shared" si="142"/>
        <v>2</v>
      </c>
      <c r="I145" s="515">
        <f t="shared" si="143"/>
        <v>14</v>
      </c>
      <c r="J145" s="515">
        <f>VLOOKUP(D145,'THANG B.LUONG'!$B$5:$I$513,F145+1,0)</f>
        <v>0</v>
      </c>
      <c r="K145" s="515">
        <v>0</v>
      </c>
      <c r="L145" s="515">
        <v>0</v>
      </c>
      <c r="M145" s="515">
        <f t="shared" si="134"/>
        <v>0</v>
      </c>
      <c r="N145" s="515">
        <v>0</v>
      </c>
      <c r="O145" s="515">
        <v>500</v>
      </c>
      <c r="P145" s="515">
        <v>200</v>
      </c>
      <c r="Q145" s="515">
        <v>500</v>
      </c>
      <c r="R145" s="515">
        <v>0</v>
      </c>
      <c r="S145" s="515">
        <v>0</v>
      </c>
      <c r="T145" s="515">
        <v>0</v>
      </c>
      <c r="U145" s="515">
        <v>0</v>
      </c>
      <c r="V145" s="516">
        <f>(SUM(J145:U145)-P145)*0.85</f>
        <v>850</v>
      </c>
      <c r="W145" s="517">
        <v>12</v>
      </c>
      <c r="X145" s="515" t="e">
        <f>VLOOKUP(B145,#REF!,37,0)</f>
        <v>#REF!</v>
      </c>
      <c r="Y145" s="518" t="e">
        <f>VLOOKUP(B145,#REF!,38,0)</f>
        <v>#REF!</v>
      </c>
      <c r="Z145" s="515" t="e">
        <f>VLOOKUP(B145,#REF!,72,0)</f>
        <v>#REF!</v>
      </c>
      <c r="AA145" s="515" t="e">
        <f>VLOOKUP(B145,#REF!,71,0)</f>
        <v>#REF!</v>
      </c>
      <c r="AB145" s="515" t="e">
        <f>VLOOKUP(B145,#REF!,36,0)</f>
        <v>#REF!</v>
      </c>
      <c r="AC145" s="515"/>
      <c r="AD145" s="519">
        <v>0</v>
      </c>
      <c r="AE145" s="548">
        <v>1500</v>
      </c>
      <c r="AF145" s="519"/>
      <c r="AG145" s="519"/>
      <c r="AH145" s="519"/>
      <c r="AI145" s="519"/>
      <c r="AJ145" s="528">
        <v>0</v>
      </c>
      <c r="AK145" s="516" t="e">
        <f>V145/#REF!*(W145+Z145/8*2+AA145/8*1.5+AB145*3)+J145/#REF!*(X145+Y145)+AC145+P145+AE145+AG145+AH145+AI145+AJ145</f>
        <v>#REF!</v>
      </c>
      <c r="AL145" s="515">
        <f t="shared" si="144"/>
        <v>0</v>
      </c>
      <c r="AM145" s="529">
        <v>0</v>
      </c>
      <c r="AN145" s="520" t="e">
        <f>VLOOKUP(B145,#REF!,75,0)</f>
        <v>#REF!</v>
      </c>
      <c r="AO145" s="520"/>
      <c r="AP145" s="561" t="e">
        <f>ROUND(AK145-AL145-AN145+AO145,-1)</f>
        <v>#REF!</v>
      </c>
    </row>
    <row r="146" spans="1:42" ht="12" customHeight="1">
      <c r="A146" s="546"/>
      <c r="B146" s="271" t="s">
        <v>763</v>
      </c>
      <c r="C146" s="232" t="s">
        <v>764</v>
      </c>
      <c r="D146" s="233" t="s">
        <v>595</v>
      </c>
      <c r="E146" s="493">
        <v>43262</v>
      </c>
      <c r="F146" s="466">
        <v>2</v>
      </c>
      <c r="G146" s="266">
        <f t="shared" ref="G146" si="158">DATEDIF(E146,$J$3,"y")</f>
        <v>0</v>
      </c>
      <c r="H146" s="266">
        <f t="shared" ref="H146" si="159">DATEDIF(E146,$J$3,"ym")</f>
        <v>2</v>
      </c>
      <c r="I146" s="267">
        <f t="shared" ref="I146" si="160">DATEDIF(E146,$J$3,"md")</f>
        <v>14</v>
      </c>
      <c r="J146" s="267">
        <f>VLOOKUP(D146,'THANG B.LUONG'!$B$5:$I$513,F146+1,0)</f>
        <v>0</v>
      </c>
      <c r="K146" s="267">
        <v>0</v>
      </c>
      <c r="L146" s="267">
        <v>0</v>
      </c>
      <c r="M146" s="267">
        <f t="shared" ref="M146" si="161">IF(G146&gt;=3,J146*(0.03+(G146-3)*0.01),0)</f>
        <v>0</v>
      </c>
      <c r="N146" s="267">
        <v>0</v>
      </c>
      <c r="O146" s="267">
        <v>500</v>
      </c>
      <c r="P146" s="267">
        <v>0</v>
      </c>
      <c r="Q146" s="267">
        <v>500</v>
      </c>
      <c r="R146" s="267">
        <v>0</v>
      </c>
      <c r="S146" s="267">
        <v>0</v>
      </c>
      <c r="T146" s="267">
        <v>0</v>
      </c>
      <c r="U146" s="267">
        <v>0</v>
      </c>
      <c r="V146" s="268">
        <f>SUM(J146:U146)-P146</f>
        <v>1000</v>
      </c>
      <c r="W146" s="269">
        <v>15</v>
      </c>
      <c r="X146" s="267">
        <v>0</v>
      </c>
      <c r="Y146" s="270" t="e">
        <f>VLOOKUP(B146,#REF!,38,0)</f>
        <v>#REF!</v>
      </c>
      <c r="Z146" s="267" t="e">
        <f>VLOOKUP(B146,#REF!,72,0)</f>
        <v>#REF!</v>
      </c>
      <c r="AA146" s="267" t="e">
        <f>VLOOKUP(B146,#REF!,71,0)</f>
        <v>#REF!</v>
      </c>
      <c r="AB146" s="267" t="e">
        <f>VLOOKUP(B146,#REF!,36,0)</f>
        <v>#REF!</v>
      </c>
      <c r="AC146" s="267"/>
      <c r="AD146" s="271">
        <v>0</v>
      </c>
      <c r="AE146" s="320">
        <v>0</v>
      </c>
      <c r="AF146" s="271"/>
      <c r="AG146" s="271"/>
      <c r="AH146" s="271"/>
      <c r="AI146" s="271"/>
      <c r="AJ146" s="385">
        <v>0</v>
      </c>
      <c r="AK146" s="268" t="e">
        <f>V146/#REF!*(W146+Z146/8*2+AA146/8*1.5+AB146*3)+J146/#REF!*(X146+Y146)+AC146+P146+AE146+AG146+AH146+AI146+AJ146</f>
        <v>#REF!</v>
      </c>
      <c r="AL146" s="267">
        <f t="shared" ref="AL146" si="162">AM146*$AN$3</f>
        <v>0</v>
      </c>
      <c r="AM146" s="414">
        <v>0</v>
      </c>
      <c r="AN146" s="272" t="e">
        <f>VLOOKUP(B146,#REF!,75,0)</f>
        <v>#REF!</v>
      </c>
      <c r="AO146" s="272"/>
      <c r="AP146" s="562" t="e">
        <f>ROUND(AK146-AL146-AN146+AO146,-1)</f>
        <v>#REF!</v>
      </c>
    </row>
    <row r="147" spans="1:42">
      <c r="A147" s="296"/>
      <c r="B147" s="271" t="s">
        <v>728</v>
      </c>
      <c r="C147" s="232" t="s">
        <v>729</v>
      </c>
      <c r="D147" s="233" t="str">
        <f>'THANG B.LUONG'!B74</f>
        <v>Trưởng sale Tỉnh</v>
      </c>
      <c r="E147" s="493">
        <v>43234</v>
      </c>
      <c r="F147" s="265">
        <v>7</v>
      </c>
      <c r="G147" s="266">
        <f t="shared" ref="G147" si="163">DATEDIF(E147,$J$3,"y")</f>
        <v>0</v>
      </c>
      <c r="H147" s="266">
        <f t="shared" ref="H147" si="164">DATEDIF(E147,$J$3,"ym")</f>
        <v>3</v>
      </c>
      <c r="I147" s="267">
        <f t="shared" ref="I147" si="165">DATEDIF(E147,$J$3,"md")</f>
        <v>11</v>
      </c>
      <c r="J147" s="267">
        <f>VLOOKUP(D147,'THANG B.LUONG'!$B$5:$I$513,F147+1,0)</f>
        <v>0</v>
      </c>
      <c r="K147" s="267">
        <v>0</v>
      </c>
      <c r="L147" s="267">
        <v>0</v>
      </c>
      <c r="M147" s="267">
        <f t="shared" ref="M147" si="166">IF(G147&gt;=3,J147*(0.03+(G147-3)*0.01),0)</f>
        <v>0</v>
      </c>
      <c r="N147" s="267">
        <v>0</v>
      </c>
      <c r="O147" s="267">
        <v>500</v>
      </c>
      <c r="P147" s="267">
        <v>300</v>
      </c>
      <c r="Q147" s="267">
        <v>500</v>
      </c>
      <c r="R147" s="267">
        <v>0</v>
      </c>
      <c r="S147" s="267">
        <v>0</v>
      </c>
      <c r="T147" s="267">
        <v>0</v>
      </c>
      <c r="U147" s="267">
        <v>8500</v>
      </c>
      <c r="V147" s="268">
        <f>SUM(J147:U147)-P147</f>
        <v>9500</v>
      </c>
      <c r="W147" s="390" t="e">
        <f>VLOOKUP(B147,#REF!,35,0)</f>
        <v>#REF!</v>
      </c>
      <c r="X147" s="267" t="e">
        <f>VLOOKUP(B147,#REF!,37,0)</f>
        <v>#REF!</v>
      </c>
      <c r="Y147" s="270" t="e">
        <f>VLOOKUP(B147,#REF!,38,0)</f>
        <v>#REF!</v>
      </c>
      <c r="Z147" s="267" t="e">
        <f>VLOOKUP(B147,#REF!,72,0)</f>
        <v>#REF!</v>
      </c>
      <c r="AA147" s="267" t="e">
        <f>VLOOKUP(B147,#REF!,71,0)</f>
        <v>#REF!</v>
      </c>
      <c r="AB147" s="267" t="e">
        <f>VLOOKUP(B147,#REF!,36,0)</f>
        <v>#REF!</v>
      </c>
      <c r="AC147" s="267"/>
      <c r="AD147" s="271">
        <v>0</v>
      </c>
      <c r="AE147" s="271" t="e">
        <f>SUMIF(#REF!,'Luong VP'!B147,#REF!)</f>
        <v>#REF!</v>
      </c>
      <c r="AF147" s="271"/>
      <c r="AG147" s="271"/>
      <c r="AH147" s="271"/>
      <c r="AI147" s="271"/>
      <c r="AJ147" s="385"/>
      <c r="AK147" s="268" t="e">
        <f>V147/#REF!*(W147+Z147/8*2+AA147/8*1.5+AB147*3)+J147/#REF!*(X147+Y147)+AC147+P147+AE147+AG147+AH147+AI147+AJ147</f>
        <v>#REF!</v>
      </c>
      <c r="AL147" s="267">
        <f t="shared" ref="AL147" si="167">AM147*$AN$3</f>
        <v>0</v>
      </c>
      <c r="AM147" s="414">
        <v>0</v>
      </c>
      <c r="AN147" s="272" t="e">
        <f>VLOOKUP(B147,#REF!,75,0)</f>
        <v>#REF!</v>
      </c>
      <c r="AO147" s="272"/>
      <c r="AP147" s="273" t="e">
        <f t="shared" ref="AP147" si="168">ROUND(AK147-AL147-AN147+AO147,-1)</f>
        <v>#REF!</v>
      </c>
    </row>
    <row r="148" spans="1:42">
      <c r="A148" s="297"/>
      <c r="B148" s="271" t="s">
        <v>639</v>
      </c>
      <c r="C148" s="232" t="s">
        <v>773</v>
      </c>
      <c r="D148" s="233" t="s">
        <v>595</v>
      </c>
      <c r="E148" s="493">
        <v>43206</v>
      </c>
      <c r="F148" s="265">
        <v>2</v>
      </c>
      <c r="G148" s="266">
        <f t="shared" si="141"/>
        <v>0</v>
      </c>
      <c r="H148" s="266">
        <f t="shared" si="142"/>
        <v>4</v>
      </c>
      <c r="I148" s="267">
        <f t="shared" si="143"/>
        <v>9</v>
      </c>
      <c r="J148" s="267">
        <f>VLOOKUP(D148,'THANG B.LUONG'!$B$5:$I$513,F148+1,0)</f>
        <v>0</v>
      </c>
      <c r="K148" s="267">
        <v>0</v>
      </c>
      <c r="L148" s="267">
        <v>0</v>
      </c>
      <c r="M148" s="267">
        <f t="shared" si="134"/>
        <v>0</v>
      </c>
      <c r="N148" s="267">
        <v>0</v>
      </c>
      <c r="O148" s="267">
        <v>500</v>
      </c>
      <c r="P148" s="267">
        <v>200</v>
      </c>
      <c r="Q148" s="267">
        <v>500</v>
      </c>
      <c r="R148" s="267">
        <v>0</v>
      </c>
      <c r="S148" s="267">
        <v>0</v>
      </c>
      <c r="T148" s="267">
        <v>0</v>
      </c>
      <c r="U148" s="267">
        <v>0</v>
      </c>
      <c r="V148" s="268">
        <f>SUM(J148:U148)-P148</f>
        <v>1000</v>
      </c>
      <c r="W148" s="269" t="e">
        <f>VLOOKUP(B148,#REF!,35,0)</f>
        <v>#REF!</v>
      </c>
      <c r="X148" s="267" t="e">
        <f>VLOOKUP(B148,#REF!,37,0)</f>
        <v>#REF!</v>
      </c>
      <c r="Y148" s="270" t="e">
        <f>VLOOKUP(B148,#REF!,38,0)</f>
        <v>#REF!</v>
      </c>
      <c r="Z148" s="267" t="e">
        <f>VLOOKUP(B148,#REF!,72,0)</f>
        <v>#REF!</v>
      </c>
      <c r="AA148" s="267" t="e">
        <f>VLOOKUP(B148,#REF!,71,0)</f>
        <v>#REF!</v>
      </c>
      <c r="AB148" s="267" t="e">
        <f>VLOOKUP(B148,#REF!,36,0)</f>
        <v>#REF!</v>
      </c>
      <c r="AC148" s="267"/>
      <c r="AD148" s="271">
        <v>0</v>
      </c>
      <c r="AE148" s="271" t="e">
        <f>SUMIF(#REF!,'Luong VP'!B148,#REF!)</f>
        <v>#REF!</v>
      </c>
      <c r="AF148" s="271"/>
      <c r="AG148" s="271"/>
      <c r="AH148" s="271"/>
      <c r="AI148" s="271"/>
      <c r="AJ148" s="385"/>
      <c r="AK148" s="268" t="e">
        <f>V148/#REF!*(W148+Z148/8*2+AA148/8*1.5+AB148*3)+J148/#REF!*(X148+Y148)+AC148+P148+AE148+AG148+AH148+AI148+AJ148</f>
        <v>#REF!</v>
      </c>
      <c r="AL148" s="267">
        <f t="shared" si="144"/>
        <v>0</v>
      </c>
      <c r="AM148" s="414">
        <v>0</v>
      </c>
      <c r="AN148" s="272" t="e">
        <f>VLOOKUP(B148,#REF!,75,0)</f>
        <v>#REF!</v>
      </c>
      <c r="AO148" s="272"/>
      <c r="AP148" s="273" t="e">
        <f t="shared" ref="AP148:AP153" si="169">ROUND(AK148-AL148-AN148+AO148,-1)</f>
        <v>#REF!</v>
      </c>
    </row>
    <row r="149" spans="1:42">
      <c r="A149" s="297"/>
      <c r="B149" s="271" t="s">
        <v>751</v>
      </c>
      <c r="C149" s="232" t="s">
        <v>752</v>
      </c>
      <c r="D149" s="233" t="s">
        <v>595</v>
      </c>
      <c r="E149" s="493">
        <v>43216</v>
      </c>
      <c r="F149" s="265">
        <v>2</v>
      </c>
      <c r="G149" s="266">
        <f t="shared" si="141"/>
        <v>0</v>
      </c>
      <c r="H149" s="266">
        <f t="shared" si="142"/>
        <v>3</v>
      </c>
      <c r="I149" s="267">
        <f t="shared" si="143"/>
        <v>30</v>
      </c>
      <c r="J149" s="267">
        <f>VLOOKUP(D149,'THANG B.LUONG'!$B$5:$I$513,F149+1,0)</f>
        <v>0</v>
      </c>
      <c r="K149" s="267">
        <v>0</v>
      </c>
      <c r="L149" s="267">
        <v>0</v>
      </c>
      <c r="M149" s="267">
        <f t="shared" si="134"/>
        <v>0</v>
      </c>
      <c r="N149" s="267">
        <v>0</v>
      </c>
      <c r="O149" s="267">
        <v>500</v>
      </c>
      <c r="P149" s="267">
        <v>200</v>
      </c>
      <c r="Q149" s="267">
        <v>500</v>
      </c>
      <c r="R149" s="267">
        <v>0</v>
      </c>
      <c r="S149" s="267">
        <v>0</v>
      </c>
      <c r="T149" s="267">
        <v>0</v>
      </c>
      <c r="U149" s="267">
        <v>0</v>
      </c>
      <c r="V149" s="268">
        <f>SUM(J149:U149)-P149</f>
        <v>1000</v>
      </c>
      <c r="W149" s="269" t="e">
        <f>VLOOKUP(B149,#REF!,35,0)</f>
        <v>#REF!</v>
      </c>
      <c r="X149" s="267" t="e">
        <f>VLOOKUP(B149,#REF!,37,0)</f>
        <v>#REF!</v>
      </c>
      <c r="Y149" s="270" t="e">
        <f>VLOOKUP(B149,#REF!,38,0)</f>
        <v>#REF!</v>
      </c>
      <c r="Z149" s="267" t="e">
        <f>VLOOKUP(B149,#REF!,72,0)</f>
        <v>#REF!</v>
      </c>
      <c r="AA149" s="267" t="e">
        <f>VLOOKUP(B149,#REF!,71,0)</f>
        <v>#REF!</v>
      </c>
      <c r="AB149" s="267" t="e">
        <f>VLOOKUP(B149,#REF!,36,0)</f>
        <v>#REF!</v>
      </c>
      <c r="AC149" s="267"/>
      <c r="AD149" s="271">
        <v>0</v>
      </c>
      <c r="AE149" s="271" t="e">
        <f>SUMIF(#REF!,'Luong VP'!B149,#REF!)</f>
        <v>#REF!</v>
      </c>
      <c r="AF149" s="271"/>
      <c r="AG149" s="271"/>
      <c r="AH149" s="271"/>
      <c r="AI149" s="271"/>
      <c r="AJ149" s="385"/>
      <c r="AK149" s="268" t="e">
        <f>V149/#REF!*(W149+Z149/8*2+AA149/8*1.5+AB149*3)+J149/#REF!*(X149+Y149)+AC149+P149+AE149+AG149+AH149+AI149+AJ149</f>
        <v>#REF!</v>
      </c>
      <c r="AL149" s="267">
        <f t="shared" si="144"/>
        <v>0</v>
      </c>
      <c r="AM149" s="414">
        <v>0</v>
      </c>
      <c r="AN149" s="272" t="e">
        <f>VLOOKUP(B149,#REF!,75,0)</f>
        <v>#REF!</v>
      </c>
      <c r="AO149" s="272"/>
      <c r="AP149" s="273" t="e">
        <f t="shared" si="169"/>
        <v>#REF!</v>
      </c>
    </row>
    <row r="150" spans="1:42" s="530" customFormat="1">
      <c r="A150" s="547"/>
      <c r="B150" s="519" t="s">
        <v>765</v>
      </c>
      <c r="C150" s="525" t="s">
        <v>767</v>
      </c>
      <c r="D150" s="526" t="s">
        <v>595</v>
      </c>
      <c r="E150" s="512">
        <v>43252</v>
      </c>
      <c r="F150" s="527">
        <v>2</v>
      </c>
      <c r="G150" s="514">
        <f t="shared" si="141"/>
        <v>0</v>
      </c>
      <c r="H150" s="514">
        <f t="shared" si="142"/>
        <v>2</v>
      </c>
      <c r="I150" s="515">
        <f t="shared" si="143"/>
        <v>24</v>
      </c>
      <c r="J150" s="515">
        <f>VLOOKUP(D150,'THANG B.LUONG'!$B$5:$I$513,F150+1,0)</f>
        <v>0</v>
      </c>
      <c r="K150" s="515">
        <v>0</v>
      </c>
      <c r="L150" s="515">
        <v>0</v>
      </c>
      <c r="M150" s="515">
        <f t="shared" si="134"/>
        <v>0</v>
      </c>
      <c r="N150" s="515">
        <v>0</v>
      </c>
      <c r="O150" s="515">
        <v>500</v>
      </c>
      <c r="P150" s="515">
        <v>200</v>
      </c>
      <c r="Q150" s="515">
        <v>500</v>
      </c>
      <c r="R150" s="515">
        <v>0</v>
      </c>
      <c r="S150" s="515">
        <v>0</v>
      </c>
      <c r="T150" s="515">
        <v>0</v>
      </c>
      <c r="U150" s="515">
        <v>0</v>
      </c>
      <c r="V150" s="516">
        <f>(SUM(J150:U150)-P150)*0.85</f>
        <v>850</v>
      </c>
      <c r="W150" s="517">
        <v>1</v>
      </c>
      <c r="X150" s="515" t="e">
        <f>VLOOKUP(B150,#REF!,37,0)</f>
        <v>#REF!</v>
      </c>
      <c r="Y150" s="518" t="e">
        <f>VLOOKUP(B150,#REF!,38,0)</f>
        <v>#REF!</v>
      </c>
      <c r="Z150" s="515" t="e">
        <f>VLOOKUP(B150,#REF!,72,0)</f>
        <v>#REF!</v>
      </c>
      <c r="AA150" s="515" t="e">
        <f>VLOOKUP(B150,#REF!,71,0)</f>
        <v>#REF!</v>
      </c>
      <c r="AB150" s="515" t="e">
        <f>VLOOKUP(B150,#REF!,36,0)</f>
        <v>#REF!</v>
      </c>
      <c r="AC150" s="515"/>
      <c r="AD150" s="519">
        <v>0</v>
      </c>
      <c r="AE150" s="548">
        <v>1500</v>
      </c>
      <c r="AF150" s="519"/>
      <c r="AG150" s="519"/>
      <c r="AH150" s="519"/>
      <c r="AI150" s="519"/>
      <c r="AJ150" s="528"/>
      <c r="AK150" s="516" t="e">
        <f>V150/#REF!*(W150+Z150/8*2+AA150/8*1.5+AB150*3)+J150/#REF!*(X150+Y150)+AC150+P150+AE150+AG150+AH150+AI150+AJ150</f>
        <v>#REF!</v>
      </c>
      <c r="AL150" s="515">
        <f t="shared" si="144"/>
        <v>0</v>
      </c>
      <c r="AM150" s="529">
        <v>0</v>
      </c>
      <c r="AN150" s="520" t="e">
        <f>VLOOKUP(B150,#REF!,75,0)</f>
        <v>#REF!</v>
      </c>
      <c r="AO150" s="520"/>
      <c r="AP150" s="561" t="e">
        <f t="shared" si="169"/>
        <v>#REF!</v>
      </c>
    </row>
    <row r="151" spans="1:42">
      <c r="A151" s="297"/>
      <c r="B151" s="271" t="s">
        <v>765</v>
      </c>
      <c r="C151" s="232" t="s">
        <v>767</v>
      </c>
      <c r="D151" s="233" t="s">
        <v>595</v>
      </c>
      <c r="E151" s="493">
        <v>43252</v>
      </c>
      <c r="F151" s="265">
        <v>2</v>
      </c>
      <c r="G151" s="266">
        <f t="shared" ref="G151" si="170">DATEDIF(E151,$J$3,"y")</f>
        <v>0</v>
      </c>
      <c r="H151" s="266">
        <f t="shared" ref="H151" si="171">DATEDIF(E151,$J$3,"ym")</f>
        <v>2</v>
      </c>
      <c r="I151" s="267">
        <f t="shared" ref="I151" si="172">DATEDIF(E151,$J$3,"md")</f>
        <v>24</v>
      </c>
      <c r="J151" s="267">
        <f>VLOOKUP(D151,'THANG B.LUONG'!$B$5:$I$513,F151+1,0)</f>
        <v>0</v>
      </c>
      <c r="K151" s="267">
        <v>0</v>
      </c>
      <c r="L151" s="267">
        <v>0</v>
      </c>
      <c r="M151" s="267">
        <f t="shared" ref="M151" si="173">IF(G151&gt;=3,J151*(0.03+(G151-3)*0.01),0)</f>
        <v>0</v>
      </c>
      <c r="N151" s="267">
        <v>0</v>
      </c>
      <c r="O151" s="267">
        <v>500</v>
      </c>
      <c r="P151" s="267">
        <v>0</v>
      </c>
      <c r="Q151" s="267">
        <v>500</v>
      </c>
      <c r="R151" s="267">
        <v>0</v>
      </c>
      <c r="S151" s="267">
        <v>0</v>
      </c>
      <c r="T151" s="267">
        <v>0</v>
      </c>
      <c r="U151" s="267">
        <v>0</v>
      </c>
      <c r="V151" s="268">
        <f>SUM(J151:U151)-P151</f>
        <v>1000</v>
      </c>
      <c r="W151" s="269">
        <v>26</v>
      </c>
      <c r="X151" s="267" t="e">
        <f>VLOOKUP(B151,#REF!,37,0)</f>
        <v>#REF!</v>
      </c>
      <c r="Y151" s="270" t="e">
        <f>VLOOKUP(B151,#REF!,38,0)</f>
        <v>#REF!</v>
      </c>
      <c r="Z151" s="267" t="e">
        <f>VLOOKUP(B151,#REF!,72,0)</f>
        <v>#REF!</v>
      </c>
      <c r="AA151" s="267" t="e">
        <f>VLOOKUP(B151,#REF!,71,0)</f>
        <v>#REF!</v>
      </c>
      <c r="AB151" s="267" t="e">
        <f>VLOOKUP(B151,#REF!,36,0)</f>
        <v>#REF!</v>
      </c>
      <c r="AC151" s="267"/>
      <c r="AD151" s="271">
        <v>0</v>
      </c>
      <c r="AE151" s="320">
        <v>0</v>
      </c>
      <c r="AF151" s="271"/>
      <c r="AG151" s="271"/>
      <c r="AH151" s="271"/>
      <c r="AI151" s="271"/>
      <c r="AJ151" s="385"/>
      <c r="AK151" s="268" t="e">
        <f>V151/#REF!*(W151+Z151/8*2+AA151/8*1.5+AB151*3)+J151/#REF!*(X151+Y151)+AC151+P151+AE151+AG151+AH151+AI151+AJ151</f>
        <v>#REF!</v>
      </c>
      <c r="AL151" s="267">
        <f t="shared" ref="AL151" si="174">AM151*$AN$3</f>
        <v>0</v>
      </c>
      <c r="AM151" s="414">
        <v>0</v>
      </c>
      <c r="AN151" s="272" t="e">
        <f>VLOOKUP(B151,#REF!,75,0)</f>
        <v>#REF!</v>
      </c>
      <c r="AO151" s="272"/>
      <c r="AP151" s="562" t="e">
        <f t="shared" si="169"/>
        <v>#REF!</v>
      </c>
    </row>
    <row r="152" spans="1:42" s="530" customFormat="1">
      <c r="A152" s="547"/>
      <c r="B152" s="519" t="s">
        <v>766</v>
      </c>
      <c r="C152" s="525" t="s">
        <v>768</v>
      </c>
      <c r="D152" s="526" t="s">
        <v>595</v>
      </c>
      <c r="E152" s="512">
        <v>43252</v>
      </c>
      <c r="F152" s="527">
        <v>2</v>
      </c>
      <c r="G152" s="514">
        <f t="shared" si="141"/>
        <v>0</v>
      </c>
      <c r="H152" s="514">
        <f t="shared" si="142"/>
        <v>2</v>
      </c>
      <c r="I152" s="515">
        <f t="shared" si="143"/>
        <v>24</v>
      </c>
      <c r="J152" s="515">
        <f>VLOOKUP(D152,'THANG B.LUONG'!$B$5:$I$513,F152+1,0)</f>
        <v>0</v>
      </c>
      <c r="K152" s="515">
        <v>0</v>
      </c>
      <c r="L152" s="515">
        <v>0</v>
      </c>
      <c r="M152" s="515">
        <f t="shared" si="134"/>
        <v>0</v>
      </c>
      <c r="N152" s="515">
        <v>0</v>
      </c>
      <c r="O152" s="515">
        <v>500</v>
      </c>
      <c r="P152" s="515">
        <v>200</v>
      </c>
      <c r="Q152" s="515">
        <v>500</v>
      </c>
      <c r="R152" s="515">
        <v>0</v>
      </c>
      <c r="S152" s="515">
        <v>0</v>
      </c>
      <c r="T152" s="515">
        <v>0</v>
      </c>
      <c r="U152" s="515">
        <v>0</v>
      </c>
      <c r="V152" s="516">
        <f>(SUM(J152:U152)-P152)*0.85</f>
        <v>850</v>
      </c>
      <c r="W152" s="517">
        <v>1</v>
      </c>
      <c r="X152" s="515" t="e">
        <f>VLOOKUP(B152,#REF!,37,0)</f>
        <v>#REF!</v>
      </c>
      <c r="Y152" s="518" t="e">
        <f>VLOOKUP(B152,#REF!,38,0)</f>
        <v>#REF!</v>
      </c>
      <c r="Z152" s="515" t="e">
        <f>VLOOKUP(B152,#REF!,72,0)</f>
        <v>#REF!</v>
      </c>
      <c r="AA152" s="515" t="e">
        <f>VLOOKUP(B152,#REF!,71,0)</f>
        <v>#REF!</v>
      </c>
      <c r="AB152" s="515" t="e">
        <f>VLOOKUP(B152,#REF!,36,0)</f>
        <v>#REF!</v>
      </c>
      <c r="AC152" s="515"/>
      <c r="AD152" s="519">
        <v>0</v>
      </c>
      <c r="AE152" s="548">
        <v>1500</v>
      </c>
      <c r="AF152" s="519"/>
      <c r="AG152" s="519"/>
      <c r="AH152" s="519"/>
      <c r="AI152" s="519"/>
      <c r="AJ152" s="528"/>
      <c r="AK152" s="516" t="e">
        <f>V152/#REF!*(W152+Z152/8*2+AA152/8*1.5+AB152*3)+J152/#REF!*(X152+Y152)+AC152+P152+AE152+AG152+AH152+AI152+AJ152</f>
        <v>#REF!</v>
      </c>
      <c r="AL152" s="515">
        <f t="shared" si="144"/>
        <v>0</v>
      </c>
      <c r="AM152" s="529">
        <v>0</v>
      </c>
      <c r="AN152" s="520" t="e">
        <f>VLOOKUP(B152,#REF!,75,0)</f>
        <v>#REF!</v>
      </c>
      <c r="AO152" s="520"/>
      <c r="AP152" s="561" t="e">
        <f t="shared" si="169"/>
        <v>#REF!</v>
      </c>
    </row>
    <row r="153" spans="1:42">
      <c r="A153" s="297"/>
      <c r="B153" s="271" t="s">
        <v>766</v>
      </c>
      <c r="C153" s="232" t="s">
        <v>768</v>
      </c>
      <c r="D153" s="233" t="s">
        <v>595</v>
      </c>
      <c r="E153" s="493">
        <v>43252</v>
      </c>
      <c r="F153" s="265">
        <v>2</v>
      </c>
      <c r="G153" s="266">
        <f t="shared" ref="G153" si="175">DATEDIF(E153,$J$3,"y")</f>
        <v>0</v>
      </c>
      <c r="H153" s="266">
        <f t="shared" ref="H153" si="176">DATEDIF(E153,$J$3,"ym")</f>
        <v>2</v>
      </c>
      <c r="I153" s="267">
        <f t="shared" ref="I153" si="177">DATEDIF(E153,$J$3,"md")</f>
        <v>24</v>
      </c>
      <c r="J153" s="267">
        <f>VLOOKUP(D153,'THANG B.LUONG'!$B$5:$I$513,F153+1,0)</f>
        <v>0</v>
      </c>
      <c r="K153" s="267">
        <v>0</v>
      </c>
      <c r="L153" s="267">
        <v>0</v>
      </c>
      <c r="M153" s="267">
        <f t="shared" ref="M153" si="178">IF(G153&gt;=3,J153*(0.03+(G153-3)*0.01),0)</f>
        <v>0</v>
      </c>
      <c r="N153" s="267">
        <v>0</v>
      </c>
      <c r="O153" s="267">
        <v>500</v>
      </c>
      <c r="P153" s="267">
        <v>0</v>
      </c>
      <c r="Q153" s="267">
        <v>500</v>
      </c>
      <c r="R153" s="267">
        <v>0</v>
      </c>
      <c r="S153" s="267">
        <v>0</v>
      </c>
      <c r="T153" s="267">
        <v>0</v>
      </c>
      <c r="U153" s="267">
        <v>0</v>
      </c>
      <c r="V153" s="268">
        <f>SUM(J153:U153)-P153</f>
        <v>1000</v>
      </c>
      <c r="W153" s="269">
        <v>26</v>
      </c>
      <c r="X153" s="267" t="e">
        <f>VLOOKUP(B153,#REF!,37,0)</f>
        <v>#REF!</v>
      </c>
      <c r="Y153" s="270" t="e">
        <f>VLOOKUP(B153,#REF!,38,0)</f>
        <v>#REF!</v>
      </c>
      <c r="Z153" s="267" t="e">
        <f>VLOOKUP(B153,#REF!,72,0)</f>
        <v>#REF!</v>
      </c>
      <c r="AA153" s="267" t="e">
        <f>VLOOKUP(B153,#REF!,71,0)</f>
        <v>#REF!</v>
      </c>
      <c r="AB153" s="267" t="e">
        <f>VLOOKUP(B153,#REF!,36,0)</f>
        <v>#REF!</v>
      </c>
      <c r="AC153" s="267"/>
      <c r="AD153" s="271">
        <v>0</v>
      </c>
      <c r="AE153" s="320">
        <v>0</v>
      </c>
      <c r="AF153" s="271"/>
      <c r="AG153" s="271"/>
      <c r="AH153" s="271"/>
      <c r="AI153" s="271"/>
      <c r="AJ153" s="385"/>
      <c r="AK153" s="268" t="e">
        <f>V153/#REF!*(W153+Z153/8*2+AA153/8*1.5+AB153*3)+J153/#REF!*(X153+Y153)+AC153+P153+AE153+AG153+AH153+AI153+AJ153</f>
        <v>#REF!</v>
      </c>
      <c r="AL153" s="267">
        <f t="shared" ref="AL153" si="179">AM153*$AN$3</f>
        <v>0</v>
      </c>
      <c r="AM153" s="414">
        <v>0</v>
      </c>
      <c r="AN153" s="272" t="e">
        <f>VLOOKUP(B153,#REF!,75,0)</f>
        <v>#REF!</v>
      </c>
      <c r="AO153" s="272"/>
      <c r="AP153" s="562" t="e">
        <f t="shared" si="169"/>
        <v>#REF!</v>
      </c>
    </row>
    <row r="154" spans="1:42" ht="12.75" customHeight="1">
      <c r="A154" s="317"/>
      <c r="B154" s="476"/>
      <c r="C154" s="234" t="s">
        <v>344</v>
      </c>
      <c r="D154" s="230"/>
      <c r="E154" s="494"/>
      <c r="F154" s="235"/>
      <c r="G154" s="235"/>
      <c r="H154" s="235"/>
      <c r="I154" s="235"/>
      <c r="J154" s="235"/>
      <c r="K154" s="235"/>
      <c r="L154" s="235"/>
      <c r="M154" s="235"/>
      <c r="N154" s="235"/>
      <c r="O154" s="235"/>
      <c r="P154" s="235"/>
      <c r="Q154" s="235"/>
      <c r="R154" s="235"/>
      <c r="S154" s="235"/>
      <c r="T154" s="235"/>
      <c r="U154" s="235"/>
      <c r="V154" s="235"/>
      <c r="W154" s="235"/>
      <c r="X154" s="235"/>
      <c r="Y154" s="235"/>
      <c r="Z154" s="235"/>
      <c r="AA154" s="235"/>
      <c r="AB154" s="235"/>
      <c r="AC154" s="235"/>
      <c r="AD154" s="235"/>
      <c r="AE154" s="235"/>
      <c r="AF154" s="235"/>
      <c r="AG154" s="235"/>
      <c r="AH154" s="235"/>
      <c r="AI154" s="235"/>
      <c r="AJ154" s="235"/>
      <c r="AK154" s="261" t="e">
        <f>SUM(AK155:AK165)</f>
        <v>#REF!</v>
      </c>
      <c r="AL154" s="261">
        <f t="shared" ref="AL154:AP154" si="180">SUM(AL155:AL165)</f>
        <v>4567.5</v>
      </c>
      <c r="AM154" s="261">
        <f t="shared" si="180"/>
        <v>43500</v>
      </c>
      <c r="AN154" s="261" t="e">
        <f t="shared" si="180"/>
        <v>#REF!</v>
      </c>
      <c r="AO154" s="261">
        <f t="shared" si="180"/>
        <v>0</v>
      </c>
      <c r="AP154" s="261" t="e">
        <f t="shared" si="180"/>
        <v>#REF!</v>
      </c>
    </row>
    <row r="155" spans="1:42">
      <c r="A155" s="262"/>
      <c r="B155" s="271" t="s">
        <v>345</v>
      </c>
      <c r="C155" s="232" t="s">
        <v>424</v>
      </c>
      <c r="D155" s="233" t="str">
        <f>'[1]THANG B.LUONG'!$B$65</f>
        <v>Trưởng đội vận chuyển</v>
      </c>
      <c r="E155" s="493">
        <v>39539</v>
      </c>
      <c r="F155" s="265">
        <v>1</v>
      </c>
      <c r="G155" s="266">
        <f t="shared" ref="G155:G163" si="181">DATEDIF(E155,$J$3,"y")</f>
        <v>10</v>
      </c>
      <c r="H155" s="266">
        <f t="shared" ref="H155:H163" si="182">DATEDIF(E155,$J$3,"ym")</f>
        <v>4</v>
      </c>
      <c r="I155" s="267">
        <f t="shared" ref="I155:I163" si="183">DATEDIF(E155,$J$3,"md")</f>
        <v>24</v>
      </c>
      <c r="J155" s="267">
        <f>VLOOKUP(D155,'THANG B.LUONG'!$B$5:$I$513,F155+1,0)</f>
        <v>0</v>
      </c>
      <c r="K155" s="267">
        <v>0</v>
      </c>
      <c r="L155" s="267">
        <v>500</v>
      </c>
      <c r="M155" s="267">
        <f t="shared" ref="M155:M165" si="184">IF(G155&gt;=3,J155*(0.03+(G155-3)*0.01),0)</f>
        <v>0</v>
      </c>
      <c r="N155" s="267">
        <v>0</v>
      </c>
      <c r="O155" s="267">
        <v>200</v>
      </c>
      <c r="P155" s="267">
        <v>300</v>
      </c>
      <c r="Q155" s="267">
        <v>0</v>
      </c>
      <c r="R155" s="267">
        <v>0</v>
      </c>
      <c r="S155" s="267">
        <v>0</v>
      </c>
      <c r="T155" s="267">
        <v>6500</v>
      </c>
      <c r="U155" s="267">
        <v>0</v>
      </c>
      <c r="V155" s="268">
        <f>SUM(J155:U155)-P155</f>
        <v>7200</v>
      </c>
      <c r="W155" s="269" t="e">
        <f>VLOOKUP(B155,#REF!,35,0)</f>
        <v>#REF!</v>
      </c>
      <c r="X155" s="267" t="e">
        <f>VLOOKUP(B155,#REF!,37,0)</f>
        <v>#REF!</v>
      </c>
      <c r="Y155" s="270" t="e">
        <f>VLOOKUP(B155,#REF!,38,0)</f>
        <v>#REF!</v>
      </c>
      <c r="Z155" s="267" t="e">
        <f>VLOOKUP(B155,#REF!,72,0)</f>
        <v>#REF!</v>
      </c>
      <c r="AA155" s="267" t="e">
        <f>VLOOKUP(B155,#REF!,71,0)</f>
        <v>#REF!</v>
      </c>
      <c r="AB155" s="267" t="e">
        <f>VLOOKUP(B155,#REF!,36,0)</f>
        <v>#REF!</v>
      </c>
      <c r="AC155" s="267">
        <v>0</v>
      </c>
      <c r="AD155" s="271">
        <v>0</v>
      </c>
      <c r="AE155" s="271">
        <v>0</v>
      </c>
      <c r="AF155" s="271">
        <v>0</v>
      </c>
      <c r="AG155" s="271">
        <v>0</v>
      </c>
      <c r="AH155" s="271">
        <v>0</v>
      </c>
      <c r="AI155" s="271"/>
      <c r="AJ155" s="271"/>
      <c r="AK155" s="268" t="e">
        <f>V155/#REF!*(W155+Z155/8*2+AA155/8*1.5+AB155*3)+J155/#REF!*(X155+Y155)+AC155+P155+AE155+AG155+AH155+AI155+AJ155</f>
        <v>#REF!</v>
      </c>
      <c r="AL155" s="267">
        <f t="shared" ref="AL155:AL190" si="185">AM155*$AN$3</f>
        <v>535.5</v>
      </c>
      <c r="AM155" s="414">
        <v>5100</v>
      </c>
      <c r="AN155" s="272" t="e">
        <f>VLOOKUP(B155,#REF!,75,0)</f>
        <v>#REF!</v>
      </c>
      <c r="AO155" s="272"/>
      <c r="AP155" s="273" t="e">
        <f t="shared" ref="AP155:AP162" si="186">ROUND(AK155-AL155-AN155+AO155,-1)</f>
        <v>#REF!</v>
      </c>
    </row>
    <row r="156" spans="1:42">
      <c r="A156" s="262"/>
      <c r="B156" s="271" t="s">
        <v>346</v>
      </c>
      <c r="C156" s="232" t="s">
        <v>425</v>
      </c>
      <c r="D156" s="443" t="str">
        <f>'THANG B.LUONG'!$B$49</f>
        <v>Tài xế</v>
      </c>
      <c r="E156" s="493">
        <v>40486</v>
      </c>
      <c r="F156" s="265">
        <v>2</v>
      </c>
      <c r="G156" s="266">
        <f t="shared" si="181"/>
        <v>7</v>
      </c>
      <c r="H156" s="266">
        <f t="shared" si="182"/>
        <v>9</v>
      </c>
      <c r="I156" s="267">
        <f t="shared" si="183"/>
        <v>21</v>
      </c>
      <c r="J156" s="467">
        <f>VLOOKUP(D156,'THANG B.LUONG'!$B$5:$I$513,F156+1,0)</f>
        <v>0</v>
      </c>
      <c r="K156" s="267">
        <v>0</v>
      </c>
      <c r="L156" s="267">
        <v>200</v>
      </c>
      <c r="M156" s="267">
        <f t="shared" si="184"/>
        <v>0</v>
      </c>
      <c r="N156" s="267">
        <v>0</v>
      </c>
      <c r="O156" s="267">
        <v>0</v>
      </c>
      <c r="P156" s="267">
        <v>0</v>
      </c>
      <c r="Q156" s="267">
        <v>0</v>
      </c>
      <c r="R156" s="267">
        <v>0</v>
      </c>
      <c r="S156" s="267">
        <v>0</v>
      </c>
      <c r="T156" s="267">
        <v>0</v>
      </c>
      <c r="U156" s="267">
        <v>0</v>
      </c>
      <c r="V156" s="268">
        <f t="shared" ref="V156:V187" si="187">SUM(J156:U156)-P156</f>
        <v>200</v>
      </c>
      <c r="W156" s="269" t="e">
        <f>VLOOKUP(B156,#REF!,35,0)</f>
        <v>#REF!</v>
      </c>
      <c r="X156" s="267" t="e">
        <f>VLOOKUP(B156,#REF!,37,0)</f>
        <v>#REF!</v>
      </c>
      <c r="Y156" s="270" t="e">
        <f>VLOOKUP(B156,#REF!,38,0)</f>
        <v>#REF!</v>
      </c>
      <c r="Z156" s="267" t="e">
        <f>VLOOKUP(B156,#REF!,72,0)</f>
        <v>#REF!</v>
      </c>
      <c r="AA156" s="267" t="e">
        <f>VLOOKUP(B156,#REF!,71,0)</f>
        <v>#REF!</v>
      </c>
      <c r="AB156" s="267" t="e">
        <f>VLOOKUP(B156,#REF!,36,0)</f>
        <v>#REF!</v>
      </c>
      <c r="AC156" s="267" t="e">
        <f>VLOOKUP(B156,#REF!,50,0)</f>
        <v>#REF!</v>
      </c>
      <c r="AD156" s="271" t="e">
        <f>VLOOKUP(B156,#REF!,48,0)</f>
        <v>#REF!</v>
      </c>
      <c r="AE156" s="271" t="e">
        <f>VLOOKUP(B156,#REF!,49,0)</f>
        <v>#REF!</v>
      </c>
      <c r="AF156" s="271" t="e">
        <f>VLOOKUP(B156,#REF!,51,0)</f>
        <v>#REF!</v>
      </c>
      <c r="AG156" s="271" t="e">
        <f>VLOOKUP(B156,#REF!,52,0)</f>
        <v>#REF!</v>
      </c>
      <c r="AH156" s="271" t="e">
        <f>VLOOKUP(B156,#REF!,5,0)</f>
        <v>#REF!</v>
      </c>
      <c r="AI156" s="271">
        <v>1000</v>
      </c>
      <c r="AJ156" s="271"/>
      <c r="AK156" s="268" t="e">
        <f>V156/#REF!*(W156+Z156/8*2+AA156/8*1.5+AB156*3)+J156/#REF!*(X156+Y156)+AC156+P156+AE156+AG156+AH156+AI156+AJ156</f>
        <v>#REF!</v>
      </c>
      <c r="AL156" s="267">
        <f t="shared" si="185"/>
        <v>504</v>
      </c>
      <c r="AM156" s="414">
        <v>4800</v>
      </c>
      <c r="AN156" s="272" t="e">
        <f>VLOOKUP(B156,#REF!,75,0)</f>
        <v>#REF!</v>
      </c>
      <c r="AO156" s="272"/>
      <c r="AP156" s="273" t="e">
        <f t="shared" si="186"/>
        <v>#REF!</v>
      </c>
    </row>
    <row r="157" spans="1:42">
      <c r="A157" s="262"/>
      <c r="B157" s="271" t="s">
        <v>347</v>
      </c>
      <c r="C157" s="232" t="s">
        <v>426</v>
      </c>
      <c r="D157" s="444" t="s">
        <v>593</v>
      </c>
      <c r="E157" s="493">
        <v>41682</v>
      </c>
      <c r="F157" s="265">
        <v>1</v>
      </c>
      <c r="G157" s="266">
        <f t="shared" si="181"/>
        <v>4</v>
      </c>
      <c r="H157" s="266">
        <f t="shared" si="182"/>
        <v>6</v>
      </c>
      <c r="I157" s="267">
        <f t="shared" si="183"/>
        <v>13</v>
      </c>
      <c r="J157" s="267">
        <f>VLOOKUP(D157,'THANG B.LUONG'!$B$5:$I$513,F157+1,0)</f>
        <v>0</v>
      </c>
      <c r="K157" s="267">
        <v>0</v>
      </c>
      <c r="L157" s="267">
        <v>200</v>
      </c>
      <c r="M157" s="267">
        <f t="shared" si="184"/>
        <v>0</v>
      </c>
      <c r="N157" s="267">
        <v>0</v>
      </c>
      <c r="O157" s="267">
        <v>0</v>
      </c>
      <c r="P157" s="267">
        <v>0</v>
      </c>
      <c r="Q157" s="267">
        <v>0</v>
      </c>
      <c r="R157" s="267">
        <v>0</v>
      </c>
      <c r="S157" s="267">
        <v>0</v>
      </c>
      <c r="T157" s="267">
        <v>2600</v>
      </c>
      <c r="U157" s="267">
        <v>0</v>
      </c>
      <c r="V157" s="268">
        <f t="shared" si="187"/>
        <v>2800</v>
      </c>
      <c r="W157" s="269" t="e">
        <f>VLOOKUP(B157,#REF!,35,0)</f>
        <v>#REF!</v>
      </c>
      <c r="X157" s="267" t="e">
        <f>VLOOKUP(B157,#REF!,37,0)</f>
        <v>#REF!</v>
      </c>
      <c r="Y157" s="270" t="e">
        <f>VLOOKUP(B157,#REF!,38,0)</f>
        <v>#REF!</v>
      </c>
      <c r="Z157" s="267" t="e">
        <f>VLOOKUP(B157,#REF!,72,0)</f>
        <v>#REF!</v>
      </c>
      <c r="AA157" s="267" t="e">
        <f>VLOOKUP(B157,#REF!,71,0)</f>
        <v>#REF!</v>
      </c>
      <c r="AB157" s="267" t="e">
        <f>VLOOKUP(B157,#REF!,36,0)</f>
        <v>#REF!</v>
      </c>
      <c r="AC157" s="267" t="e">
        <f>VLOOKUP(B157,#REF!,50,0)</f>
        <v>#REF!</v>
      </c>
      <c r="AD157" s="271" t="e">
        <f>VLOOKUP(B157,#REF!,48,0)</f>
        <v>#REF!</v>
      </c>
      <c r="AE157" s="271" t="e">
        <f>VLOOKUP(B157,#REF!,49,0)</f>
        <v>#REF!</v>
      </c>
      <c r="AF157" s="271" t="e">
        <f>VLOOKUP(B157,#REF!,51,0)</f>
        <v>#REF!</v>
      </c>
      <c r="AG157" s="271">
        <v>0</v>
      </c>
      <c r="AH157" s="271" t="e">
        <f>VLOOKUP(B157,#REF!,5,0)</f>
        <v>#REF!</v>
      </c>
      <c r="AI157" s="271"/>
      <c r="AJ157" s="271"/>
      <c r="AK157" s="268" t="e">
        <f>V157/#REF!*(W157+Z157/8*2+AA157/8*1.5+AB157*3)+J157/#REF!*(X157+Y157)+AC157+P157+AE157+AG157+AH157+AI157+AJ157</f>
        <v>#REF!</v>
      </c>
      <c r="AL157" s="267">
        <f t="shared" si="185"/>
        <v>504</v>
      </c>
      <c r="AM157" s="414">
        <v>4800</v>
      </c>
      <c r="AN157" s="272" t="e">
        <f>VLOOKUP(B157,#REF!,75,0)</f>
        <v>#REF!</v>
      </c>
      <c r="AO157" s="272"/>
      <c r="AP157" s="273" t="e">
        <f t="shared" si="186"/>
        <v>#REF!</v>
      </c>
    </row>
    <row r="158" spans="1:42">
      <c r="A158" s="262"/>
      <c r="B158" s="271" t="s">
        <v>348</v>
      </c>
      <c r="C158" s="232" t="s">
        <v>427</v>
      </c>
      <c r="D158" s="443" t="str">
        <f>'THANG B.LUONG'!$B$49</f>
        <v>Tài xế</v>
      </c>
      <c r="E158" s="493">
        <v>42248</v>
      </c>
      <c r="F158" s="265">
        <v>1</v>
      </c>
      <c r="G158" s="266">
        <f t="shared" si="181"/>
        <v>2</v>
      </c>
      <c r="H158" s="266">
        <f t="shared" si="182"/>
        <v>11</v>
      </c>
      <c r="I158" s="267">
        <f t="shared" si="183"/>
        <v>24</v>
      </c>
      <c r="J158" s="267">
        <f>VLOOKUP(D158,'THANG B.LUONG'!$B$5:$I$513,F158+1,0)</f>
        <v>0</v>
      </c>
      <c r="K158" s="267">
        <v>0</v>
      </c>
      <c r="L158" s="267">
        <v>200</v>
      </c>
      <c r="M158" s="267">
        <f t="shared" si="184"/>
        <v>0</v>
      </c>
      <c r="N158" s="267">
        <v>0</v>
      </c>
      <c r="O158" s="267">
        <v>0</v>
      </c>
      <c r="P158" s="267">
        <v>0</v>
      </c>
      <c r="Q158" s="267">
        <v>0</v>
      </c>
      <c r="R158" s="267">
        <v>0</v>
      </c>
      <c r="S158" s="267">
        <v>0</v>
      </c>
      <c r="T158" s="267">
        <v>0</v>
      </c>
      <c r="U158" s="267">
        <v>0</v>
      </c>
      <c r="V158" s="268">
        <f t="shared" si="187"/>
        <v>200</v>
      </c>
      <c r="W158" s="269" t="e">
        <f>VLOOKUP(B158,#REF!,35,0)</f>
        <v>#REF!</v>
      </c>
      <c r="X158" s="267" t="e">
        <f>VLOOKUP(B158,#REF!,37,0)</f>
        <v>#REF!</v>
      </c>
      <c r="Y158" s="270" t="e">
        <f>VLOOKUP(B158,#REF!,38,0)</f>
        <v>#REF!</v>
      </c>
      <c r="Z158" s="267" t="e">
        <f>VLOOKUP(B158,#REF!,72,0)</f>
        <v>#REF!</v>
      </c>
      <c r="AA158" s="267" t="e">
        <f>VLOOKUP(B158,#REF!,71,0)</f>
        <v>#REF!</v>
      </c>
      <c r="AB158" s="267" t="e">
        <f>VLOOKUP(B158,#REF!,36,0)</f>
        <v>#REF!</v>
      </c>
      <c r="AC158" s="267" t="e">
        <f>VLOOKUP(B158,#REF!,50,0)</f>
        <v>#REF!</v>
      </c>
      <c r="AD158" s="271" t="e">
        <f>VLOOKUP(B158,#REF!,48,0)</f>
        <v>#REF!</v>
      </c>
      <c r="AE158" s="271" t="e">
        <f>VLOOKUP(B158,#REF!,49,0)</f>
        <v>#REF!</v>
      </c>
      <c r="AF158" s="271" t="e">
        <f>VLOOKUP(B158,#REF!,51,0)</f>
        <v>#REF!</v>
      </c>
      <c r="AG158" s="271" t="e">
        <f>VLOOKUP(B158,#REF!,52,0)</f>
        <v>#REF!</v>
      </c>
      <c r="AH158" s="271" t="e">
        <f>VLOOKUP(B158,#REF!,5,0)</f>
        <v>#REF!</v>
      </c>
      <c r="AI158" s="271"/>
      <c r="AJ158" s="271"/>
      <c r="AK158" s="268" t="e">
        <f>V158/#REF!*(W158+Z158/8*2+AA158/8*1.5+AB158*3)+J158/#REF!*(X158+Y158)+AC158+P158+AE158+AG158+AH158+AI158+AJ158</f>
        <v>#REF!</v>
      </c>
      <c r="AL158" s="267">
        <f t="shared" si="185"/>
        <v>504</v>
      </c>
      <c r="AM158" s="414">
        <v>4800</v>
      </c>
      <c r="AN158" s="272" t="e">
        <f>VLOOKUP(B158,#REF!,75,0)</f>
        <v>#REF!</v>
      </c>
      <c r="AO158" s="272"/>
      <c r="AP158" s="273" t="e">
        <f t="shared" si="186"/>
        <v>#REF!</v>
      </c>
    </row>
    <row r="159" spans="1:42">
      <c r="A159" s="262"/>
      <c r="B159" s="271" t="s">
        <v>349</v>
      </c>
      <c r="C159" s="232" t="s">
        <v>428</v>
      </c>
      <c r="D159" s="443" t="str">
        <f>'THANG B.LUONG'!$B$49</f>
        <v>Tài xế</v>
      </c>
      <c r="E159" s="493">
        <v>42597</v>
      </c>
      <c r="F159" s="265">
        <v>1</v>
      </c>
      <c r="G159" s="266">
        <f t="shared" si="181"/>
        <v>2</v>
      </c>
      <c r="H159" s="266">
        <f t="shared" si="182"/>
        <v>0</v>
      </c>
      <c r="I159" s="267">
        <f t="shared" si="183"/>
        <v>10</v>
      </c>
      <c r="J159" s="267">
        <f>VLOOKUP(D159,'THANG B.LUONG'!$B$5:$I$513,F159+1,0)</f>
        <v>0</v>
      </c>
      <c r="K159" s="267">
        <v>0</v>
      </c>
      <c r="L159" s="267">
        <v>200</v>
      </c>
      <c r="M159" s="267">
        <f t="shared" si="184"/>
        <v>0</v>
      </c>
      <c r="N159" s="267">
        <v>0</v>
      </c>
      <c r="O159" s="267">
        <v>0</v>
      </c>
      <c r="P159" s="267">
        <v>0</v>
      </c>
      <c r="Q159" s="267">
        <v>0</v>
      </c>
      <c r="R159" s="267">
        <v>0</v>
      </c>
      <c r="S159" s="267">
        <v>0</v>
      </c>
      <c r="T159" s="267">
        <v>0</v>
      </c>
      <c r="U159" s="267">
        <v>0</v>
      </c>
      <c r="V159" s="268">
        <f t="shared" si="187"/>
        <v>200</v>
      </c>
      <c r="W159" s="269" t="e">
        <f>VLOOKUP(B159,#REF!,35,0)</f>
        <v>#REF!</v>
      </c>
      <c r="X159" s="267" t="e">
        <f>VLOOKUP(B159,#REF!,37,0)</f>
        <v>#REF!</v>
      </c>
      <c r="Y159" s="270" t="e">
        <f>VLOOKUP(B159,#REF!,38,0)</f>
        <v>#REF!</v>
      </c>
      <c r="Z159" s="267" t="e">
        <f>VLOOKUP(B159,#REF!,72,0)</f>
        <v>#REF!</v>
      </c>
      <c r="AA159" s="267" t="e">
        <f>VLOOKUP(B159,#REF!,71,0)</f>
        <v>#REF!</v>
      </c>
      <c r="AB159" s="267" t="e">
        <f>VLOOKUP(B159,#REF!,36,0)</f>
        <v>#REF!</v>
      </c>
      <c r="AC159" s="267" t="e">
        <f>VLOOKUP(B159,#REF!,50,0)</f>
        <v>#REF!</v>
      </c>
      <c r="AD159" s="271" t="e">
        <f>VLOOKUP(B159,#REF!,48,0)</f>
        <v>#REF!</v>
      </c>
      <c r="AE159" s="271" t="e">
        <f>VLOOKUP(B159,#REF!,49,0)</f>
        <v>#REF!</v>
      </c>
      <c r="AF159" s="271" t="e">
        <f>VLOOKUP(B159,#REF!,51,0)</f>
        <v>#REF!</v>
      </c>
      <c r="AG159" s="271" t="e">
        <f>VLOOKUP(B159,#REF!,52,0)</f>
        <v>#REF!</v>
      </c>
      <c r="AH159" s="271" t="e">
        <f>VLOOKUP(B159,#REF!,5,0)</f>
        <v>#REF!</v>
      </c>
      <c r="AI159" s="271"/>
      <c r="AJ159" s="271"/>
      <c r="AK159" s="268" t="e">
        <f>V159/#REF!*(W159+Z159/8*2+AA159/8*1.5+AB159*3)+J159/#REF!*(X159+Y159)+AC159+P159+AE159+AG159+AH159+AI159+AJ159</f>
        <v>#REF!</v>
      </c>
      <c r="AL159" s="267">
        <f t="shared" si="185"/>
        <v>504</v>
      </c>
      <c r="AM159" s="414">
        <v>4800</v>
      </c>
      <c r="AN159" s="272" t="e">
        <f>VLOOKUP(B159,#REF!,75,0)</f>
        <v>#REF!</v>
      </c>
      <c r="AO159" s="272"/>
      <c r="AP159" s="273" t="e">
        <f t="shared" si="186"/>
        <v>#REF!</v>
      </c>
    </row>
    <row r="160" spans="1:42">
      <c r="A160" s="262"/>
      <c r="B160" s="271" t="s">
        <v>350</v>
      </c>
      <c r="C160" s="232" t="s">
        <v>429</v>
      </c>
      <c r="D160" s="443" t="str">
        <f>'THANG B.LUONG'!$B$49</f>
        <v>Tài xế</v>
      </c>
      <c r="E160" s="493">
        <v>42441</v>
      </c>
      <c r="F160" s="265">
        <v>1</v>
      </c>
      <c r="G160" s="266">
        <f t="shared" si="181"/>
        <v>2</v>
      </c>
      <c r="H160" s="266">
        <f t="shared" si="182"/>
        <v>5</v>
      </c>
      <c r="I160" s="267">
        <f t="shared" si="183"/>
        <v>13</v>
      </c>
      <c r="J160" s="267">
        <f>VLOOKUP(D160,'THANG B.LUONG'!$B$5:$I$513,F160+1,0)</f>
        <v>0</v>
      </c>
      <c r="K160" s="267">
        <v>0</v>
      </c>
      <c r="L160" s="267">
        <v>200</v>
      </c>
      <c r="M160" s="267">
        <f t="shared" si="184"/>
        <v>0</v>
      </c>
      <c r="N160" s="267">
        <v>0</v>
      </c>
      <c r="O160" s="267">
        <v>0</v>
      </c>
      <c r="P160" s="267">
        <v>0</v>
      </c>
      <c r="Q160" s="267">
        <v>0</v>
      </c>
      <c r="R160" s="267">
        <v>0</v>
      </c>
      <c r="S160" s="267">
        <v>0</v>
      </c>
      <c r="T160" s="267">
        <v>0</v>
      </c>
      <c r="U160" s="267">
        <v>0</v>
      </c>
      <c r="V160" s="268">
        <f t="shared" si="187"/>
        <v>200</v>
      </c>
      <c r="W160" s="269" t="e">
        <f>VLOOKUP(B160,#REF!,35,0)</f>
        <v>#REF!</v>
      </c>
      <c r="X160" s="267" t="e">
        <f>VLOOKUP(B160,#REF!,37,0)</f>
        <v>#REF!</v>
      </c>
      <c r="Y160" s="270" t="e">
        <f>VLOOKUP(B160,#REF!,38,0)</f>
        <v>#REF!</v>
      </c>
      <c r="Z160" s="267" t="e">
        <f>VLOOKUP(B160,#REF!,72,0)</f>
        <v>#REF!</v>
      </c>
      <c r="AA160" s="267" t="e">
        <f>VLOOKUP(B160,#REF!,71,0)</f>
        <v>#REF!</v>
      </c>
      <c r="AB160" s="267" t="e">
        <f>VLOOKUP(B160,#REF!,36,0)</f>
        <v>#REF!</v>
      </c>
      <c r="AC160" s="267" t="e">
        <f>VLOOKUP(B160,#REF!,50,0)</f>
        <v>#REF!</v>
      </c>
      <c r="AD160" s="271" t="e">
        <f>VLOOKUP(B160,#REF!,48,0)</f>
        <v>#REF!</v>
      </c>
      <c r="AE160" s="271" t="e">
        <f>VLOOKUP(B160,#REF!,49,0)</f>
        <v>#REF!</v>
      </c>
      <c r="AF160" s="271" t="e">
        <f>VLOOKUP(B160,#REF!,51,0)</f>
        <v>#REF!</v>
      </c>
      <c r="AG160" s="271" t="e">
        <f>VLOOKUP(B160,#REF!,52,0)</f>
        <v>#REF!</v>
      </c>
      <c r="AH160" s="271" t="e">
        <f>VLOOKUP(B160,#REF!,5,0)</f>
        <v>#REF!</v>
      </c>
      <c r="AI160" s="271"/>
      <c r="AJ160" s="271"/>
      <c r="AK160" s="268" t="e">
        <f>V160/#REF!*(W160+Z160/8*2+AA160/8*1.5+AB160*3)+J160/#REF!*(X160+Y160)+AC160+P160+AE160+AG160+AH160+AI160+AJ160</f>
        <v>#REF!</v>
      </c>
      <c r="AL160" s="267">
        <f t="shared" si="185"/>
        <v>504</v>
      </c>
      <c r="AM160" s="414">
        <v>4800</v>
      </c>
      <c r="AN160" s="272" t="e">
        <f>VLOOKUP(B160,#REF!,75,0)</f>
        <v>#REF!</v>
      </c>
      <c r="AO160" s="272"/>
      <c r="AP160" s="273" t="e">
        <f t="shared" si="186"/>
        <v>#REF!</v>
      </c>
    </row>
    <row r="161" spans="1:42">
      <c r="A161" s="262"/>
      <c r="B161" s="271" t="s">
        <v>352</v>
      </c>
      <c r="C161" s="232" t="s">
        <v>430</v>
      </c>
      <c r="D161" s="443" t="str">
        <f>'THANG B.LUONG'!$B$49</f>
        <v>Tài xế</v>
      </c>
      <c r="E161" s="493">
        <v>42788</v>
      </c>
      <c r="F161" s="265">
        <v>0</v>
      </c>
      <c r="G161" s="266">
        <f t="shared" si="181"/>
        <v>1</v>
      </c>
      <c r="H161" s="266">
        <f t="shared" si="182"/>
        <v>6</v>
      </c>
      <c r="I161" s="267">
        <f t="shared" si="183"/>
        <v>3</v>
      </c>
      <c r="J161" s="267">
        <v>10300</v>
      </c>
      <c r="K161" s="267">
        <v>0</v>
      </c>
      <c r="L161" s="267">
        <v>200</v>
      </c>
      <c r="M161" s="267">
        <f t="shared" si="184"/>
        <v>0</v>
      </c>
      <c r="N161" s="267">
        <v>0</v>
      </c>
      <c r="O161" s="267">
        <v>0</v>
      </c>
      <c r="P161" s="267">
        <v>0</v>
      </c>
      <c r="Q161" s="267">
        <v>0</v>
      </c>
      <c r="R161" s="267">
        <v>0</v>
      </c>
      <c r="S161" s="267">
        <v>0</v>
      </c>
      <c r="T161" s="267">
        <v>0</v>
      </c>
      <c r="U161" s="267">
        <v>0</v>
      </c>
      <c r="V161" s="268">
        <f t="shared" si="187"/>
        <v>10500</v>
      </c>
      <c r="W161" s="269" t="e">
        <f>VLOOKUP(B161,#REF!,35,0)</f>
        <v>#REF!</v>
      </c>
      <c r="X161" s="267" t="e">
        <f>VLOOKUP(B161,#REF!,37,0)</f>
        <v>#REF!</v>
      </c>
      <c r="Y161" s="270" t="e">
        <f>VLOOKUP(B161,#REF!,38,0)</f>
        <v>#REF!</v>
      </c>
      <c r="Z161" s="267" t="e">
        <f>VLOOKUP(B161,#REF!,72,0)</f>
        <v>#REF!</v>
      </c>
      <c r="AA161" s="267" t="e">
        <f>VLOOKUP(B161,#REF!,71,0)</f>
        <v>#REF!</v>
      </c>
      <c r="AB161" s="267" t="e">
        <f>VLOOKUP(B161,#REF!,36,0)</f>
        <v>#REF!</v>
      </c>
      <c r="AC161" s="426">
        <v>0</v>
      </c>
      <c r="AD161" s="427">
        <v>0</v>
      </c>
      <c r="AE161" s="427">
        <v>0</v>
      </c>
      <c r="AF161" s="271" t="e">
        <f>VLOOKUP(B161,#REF!,51,0)</f>
        <v>#REF!</v>
      </c>
      <c r="AG161" s="271" t="e">
        <f>VLOOKUP(B161,#REF!,52,0)</f>
        <v>#REF!</v>
      </c>
      <c r="AH161" s="271" t="e">
        <f>VLOOKUP(B161,#REF!,5,0)</f>
        <v>#REF!</v>
      </c>
      <c r="AI161" s="271"/>
      <c r="AJ161" s="271"/>
      <c r="AK161" s="268" t="e">
        <f>V161/#REF!*(W161+Z161/8*2+AA161/8*1.5+AB161*3)+J161/#REF!*(X161+Y161)+AC161+P161+AE161+AG161+AH161+AI161+AJ161</f>
        <v>#REF!</v>
      </c>
      <c r="AL161" s="267">
        <f t="shared" si="185"/>
        <v>504</v>
      </c>
      <c r="AM161" s="504">
        <v>4800</v>
      </c>
      <c r="AN161" s="272" t="e">
        <f>VLOOKUP(B161,#REF!,75,0)</f>
        <v>#REF!</v>
      </c>
      <c r="AO161" s="272"/>
      <c r="AP161" s="273" t="e">
        <f t="shared" si="186"/>
        <v>#REF!</v>
      </c>
    </row>
    <row r="162" spans="1:42">
      <c r="A162" s="262"/>
      <c r="B162" s="271" t="s">
        <v>353</v>
      </c>
      <c r="C162" s="232" t="s">
        <v>431</v>
      </c>
      <c r="D162" s="443" t="str">
        <f>'THANG B.LUONG'!$B$49</f>
        <v>Tài xế</v>
      </c>
      <c r="E162" s="493">
        <v>42805</v>
      </c>
      <c r="F162" s="265">
        <v>1</v>
      </c>
      <c r="G162" s="266">
        <f t="shared" si="181"/>
        <v>1</v>
      </c>
      <c r="H162" s="266">
        <f t="shared" si="182"/>
        <v>5</v>
      </c>
      <c r="I162" s="267">
        <f t="shared" si="183"/>
        <v>14</v>
      </c>
      <c r="J162" s="267">
        <f>VLOOKUP(D162,'THANG B.LUONG'!$B$5:$I$513,F162+1,0)</f>
        <v>0</v>
      </c>
      <c r="K162" s="267">
        <v>0</v>
      </c>
      <c r="L162" s="267">
        <v>200</v>
      </c>
      <c r="M162" s="267">
        <f t="shared" si="184"/>
        <v>0</v>
      </c>
      <c r="N162" s="267">
        <v>0</v>
      </c>
      <c r="O162" s="267">
        <v>0</v>
      </c>
      <c r="P162" s="267">
        <v>0</v>
      </c>
      <c r="Q162" s="267">
        <v>0</v>
      </c>
      <c r="R162" s="267">
        <v>0</v>
      </c>
      <c r="S162" s="267">
        <v>0</v>
      </c>
      <c r="T162" s="267">
        <v>0</v>
      </c>
      <c r="U162" s="267">
        <v>0</v>
      </c>
      <c r="V162" s="268">
        <f t="shared" si="187"/>
        <v>200</v>
      </c>
      <c r="W162" s="269" t="e">
        <f>VLOOKUP(B162,#REF!,35,0)</f>
        <v>#REF!</v>
      </c>
      <c r="X162" s="267" t="e">
        <f>VLOOKUP(B162,#REF!,37,0)</f>
        <v>#REF!</v>
      </c>
      <c r="Y162" s="270" t="e">
        <f>VLOOKUP(B162,#REF!,38,0)</f>
        <v>#REF!</v>
      </c>
      <c r="Z162" s="267" t="e">
        <f>VLOOKUP(B162,#REF!,72,0)</f>
        <v>#REF!</v>
      </c>
      <c r="AA162" s="267" t="e">
        <f>VLOOKUP(B162,#REF!,71,0)</f>
        <v>#REF!</v>
      </c>
      <c r="AB162" s="267" t="e">
        <f>VLOOKUP(B162,#REF!,36,0)</f>
        <v>#REF!</v>
      </c>
      <c r="AC162" s="267" t="e">
        <f>VLOOKUP(B162,#REF!,50,0)</f>
        <v>#REF!</v>
      </c>
      <c r="AD162" s="271" t="e">
        <f>VLOOKUP(B162,#REF!,48,0)</f>
        <v>#REF!</v>
      </c>
      <c r="AE162" s="271" t="e">
        <f>VLOOKUP(B162,#REF!,49,0)</f>
        <v>#REF!</v>
      </c>
      <c r="AF162" s="271" t="e">
        <f>VLOOKUP(B162,#REF!,51,0)</f>
        <v>#REF!</v>
      </c>
      <c r="AG162" s="271" t="e">
        <f>VLOOKUP(B162,#REF!,52,0)</f>
        <v>#REF!</v>
      </c>
      <c r="AH162" s="271" t="e">
        <f>VLOOKUP(B162,#REF!,5,0)</f>
        <v>#REF!</v>
      </c>
      <c r="AI162" s="271"/>
      <c r="AJ162" s="271"/>
      <c r="AK162" s="268" t="e">
        <f>V162/#REF!*(W162+Z162/8*2+AA162/8*1.5+AB162*3)+J162/#REF!*(X162+Y162)+AC162+P162+AE162+AG162+AH162+AI162+AJ162</f>
        <v>#REF!</v>
      </c>
      <c r="AL162" s="267">
        <f t="shared" si="185"/>
        <v>504</v>
      </c>
      <c r="AM162" s="504">
        <v>4800</v>
      </c>
      <c r="AN162" s="272" t="e">
        <f>VLOOKUP(B162,#REF!,75,0)</f>
        <v>#REF!</v>
      </c>
      <c r="AO162" s="272"/>
      <c r="AP162" s="273" t="e">
        <f t="shared" si="186"/>
        <v>#REF!</v>
      </c>
    </row>
    <row r="163" spans="1:42">
      <c r="A163" s="262"/>
      <c r="B163" s="271" t="s">
        <v>354</v>
      </c>
      <c r="C163" s="232" t="s">
        <v>432</v>
      </c>
      <c r="D163" s="443" t="str">
        <f>'THANG B.LUONG'!$B$49</f>
        <v>Tài xế</v>
      </c>
      <c r="E163" s="493">
        <v>42863</v>
      </c>
      <c r="F163" s="265">
        <v>1</v>
      </c>
      <c r="G163" s="266">
        <f t="shared" si="181"/>
        <v>1</v>
      </c>
      <c r="H163" s="266">
        <f t="shared" si="182"/>
        <v>3</v>
      </c>
      <c r="I163" s="267">
        <f t="shared" si="183"/>
        <v>17</v>
      </c>
      <c r="J163" s="267">
        <f>VLOOKUP(D163,'THANG B.LUONG'!$B$5:$I$513,F163+1,0)</f>
        <v>0</v>
      </c>
      <c r="K163" s="267">
        <v>0</v>
      </c>
      <c r="L163" s="267">
        <v>200</v>
      </c>
      <c r="M163" s="267">
        <f t="shared" si="184"/>
        <v>0</v>
      </c>
      <c r="N163" s="267">
        <v>0</v>
      </c>
      <c r="O163" s="267">
        <v>0</v>
      </c>
      <c r="P163" s="267">
        <v>0</v>
      </c>
      <c r="Q163" s="267">
        <v>0</v>
      </c>
      <c r="R163" s="267">
        <v>0</v>
      </c>
      <c r="S163" s="267">
        <v>0</v>
      </c>
      <c r="T163" s="267">
        <v>0</v>
      </c>
      <c r="U163" s="267">
        <v>0</v>
      </c>
      <c r="V163" s="268">
        <f t="shared" si="187"/>
        <v>200</v>
      </c>
      <c r="W163" s="269" t="e">
        <f>VLOOKUP(B163,#REF!,35,0)</f>
        <v>#REF!</v>
      </c>
      <c r="X163" s="267" t="e">
        <f>VLOOKUP(B163,#REF!,37,0)</f>
        <v>#REF!</v>
      </c>
      <c r="Y163" s="270" t="e">
        <f>VLOOKUP(B163,#REF!,38,0)</f>
        <v>#REF!</v>
      </c>
      <c r="Z163" s="267" t="e">
        <f>VLOOKUP(B163,#REF!,72,0)</f>
        <v>#REF!</v>
      </c>
      <c r="AA163" s="267" t="e">
        <f>VLOOKUP(B163,#REF!,71,0)</f>
        <v>#REF!</v>
      </c>
      <c r="AB163" s="267" t="e">
        <f>VLOOKUP(B163,#REF!,36,0)</f>
        <v>#REF!</v>
      </c>
      <c r="AC163" s="267" t="e">
        <f>VLOOKUP(B163,#REF!,50,0)</f>
        <v>#REF!</v>
      </c>
      <c r="AD163" s="271" t="e">
        <f>VLOOKUP(B163,#REF!,48,0)</f>
        <v>#REF!</v>
      </c>
      <c r="AE163" s="271" t="e">
        <f>VLOOKUP(B163,#REF!,49,0)</f>
        <v>#REF!</v>
      </c>
      <c r="AF163" s="271" t="e">
        <f>VLOOKUP(B163,#REF!,51,0)</f>
        <v>#REF!</v>
      </c>
      <c r="AG163" s="271" t="e">
        <f>VLOOKUP(B163,#REF!,52,0)</f>
        <v>#REF!</v>
      </c>
      <c r="AH163" s="271" t="e">
        <f>VLOOKUP(B163,#REF!,5,0)</f>
        <v>#REF!</v>
      </c>
      <c r="AI163" s="271"/>
      <c r="AJ163" s="271"/>
      <c r="AK163" s="268" t="e">
        <f>V163/#REF!*(W163+Z163/8*2+AA163/8*1.5+AB163*3)+J163/#REF!*(X163+Y163)+AC163+P163+AE163+AG163+AH163+AI163+AJ163</f>
        <v>#REF!</v>
      </c>
      <c r="AL163" s="267">
        <f t="shared" si="185"/>
        <v>504</v>
      </c>
      <c r="AM163" s="504">
        <v>4800</v>
      </c>
      <c r="AN163" s="272" t="e">
        <f>VLOOKUP(B163,#REF!,75,0)</f>
        <v>#REF!</v>
      </c>
      <c r="AO163" s="272"/>
      <c r="AP163" s="273" t="e">
        <f>ROUND(AK163-AL163-AN163+AO163,-1)</f>
        <v>#REF!</v>
      </c>
    </row>
    <row r="164" spans="1:42">
      <c r="A164" s="262"/>
      <c r="B164" s="271" t="s">
        <v>612</v>
      </c>
      <c r="C164" s="232" t="s">
        <v>746</v>
      </c>
      <c r="D164" s="443" t="str">
        <f>'THANG B.LUONG'!$B$49</f>
        <v>Tài xế</v>
      </c>
      <c r="E164" s="493">
        <v>43175</v>
      </c>
      <c r="F164" s="265">
        <v>1</v>
      </c>
      <c r="G164" s="266">
        <f>DATEDIF(E164,$J$3,"y")</f>
        <v>0</v>
      </c>
      <c r="H164" s="266">
        <f>DATEDIF(E164,$J$3,"ym")</f>
        <v>5</v>
      </c>
      <c r="I164" s="267">
        <f>DATEDIF(E164,$J$3,"md")</f>
        <v>9</v>
      </c>
      <c r="J164" s="267">
        <f>VLOOKUP(D164,'THANG B.LUONG'!$B$5:$I$513,F164+1,0)</f>
        <v>0</v>
      </c>
      <c r="K164" s="267">
        <v>0</v>
      </c>
      <c r="L164" s="267">
        <v>0</v>
      </c>
      <c r="M164" s="267">
        <f t="shared" si="184"/>
        <v>0</v>
      </c>
      <c r="N164" s="267">
        <v>0</v>
      </c>
      <c r="O164" s="267">
        <v>0</v>
      </c>
      <c r="P164" s="267">
        <v>0</v>
      </c>
      <c r="Q164" s="267">
        <v>0</v>
      </c>
      <c r="R164" s="267">
        <v>0</v>
      </c>
      <c r="S164" s="267">
        <v>0</v>
      </c>
      <c r="T164" s="267">
        <v>0</v>
      </c>
      <c r="U164" s="267">
        <v>0</v>
      </c>
      <c r="V164" s="268">
        <f>SUM(J164:U164)-P164</f>
        <v>0</v>
      </c>
      <c r="W164" s="269" t="e">
        <f>VLOOKUP(B164,#REF!,35,0)</f>
        <v>#REF!</v>
      </c>
      <c r="X164" s="267" t="e">
        <f>VLOOKUP(B164,#REF!,37,0)</f>
        <v>#REF!</v>
      </c>
      <c r="Y164" s="270" t="e">
        <f>VLOOKUP(B164,#REF!,38,0)</f>
        <v>#REF!</v>
      </c>
      <c r="Z164" s="267" t="e">
        <f>VLOOKUP(B164,#REF!,72,0)</f>
        <v>#REF!</v>
      </c>
      <c r="AA164" s="267" t="e">
        <f>VLOOKUP(B164,#REF!,71,0)</f>
        <v>#REF!</v>
      </c>
      <c r="AB164" s="267" t="e">
        <f>VLOOKUP(B164,#REF!,36,0)</f>
        <v>#REF!</v>
      </c>
      <c r="AC164" s="267" t="e">
        <f>VLOOKUP(B164,#REF!,50,0)</f>
        <v>#REF!</v>
      </c>
      <c r="AD164" s="271" t="e">
        <f>VLOOKUP(B164,#REF!,48,0)</f>
        <v>#REF!</v>
      </c>
      <c r="AE164" s="271" t="e">
        <f>VLOOKUP(B164,#REF!,49,0)</f>
        <v>#REF!</v>
      </c>
      <c r="AF164" s="271" t="e">
        <f>VLOOKUP(B164,#REF!,51,0)</f>
        <v>#REF!</v>
      </c>
      <c r="AG164" s="271" t="e">
        <f>VLOOKUP(B164,#REF!,52,0)</f>
        <v>#REF!</v>
      </c>
      <c r="AH164" s="271"/>
      <c r="AI164" s="271"/>
      <c r="AJ164" s="271"/>
      <c r="AK164" s="268" t="e">
        <f>V164/#REF!*(W164+Z164/8*2+AA164/8*1.5+AB164*3)+J164/#REF!*(X164+Y164)+AC164+P164+AE164+AG164+AH164+AI164+AJ164</f>
        <v>#REF!</v>
      </c>
      <c r="AL164" s="267">
        <f>AM164*$AN$3</f>
        <v>0</v>
      </c>
      <c r="AM164" s="281">
        <v>0</v>
      </c>
      <c r="AN164" s="272" t="e">
        <f>VLOOKUP(B164,#REF!,75,0)</f>
        <v>#REF!</v>
      </c>
      <c r="AO164" s="272"/>
      <c r="AP164" s="273" t="e">
        <f>ROUND(AK164-AL164-AN164+AO164,-1)</f>
        <v>#REF!</v>
      </c>
    </row>
    <row r="165" spans="1:42">
      <c r="A165" s="262"/>
      <c r="B165" s="271" t="s">
        <v>630</v>
      </c>
      <c r="C165" s="232" t="s">
        <v>629</v>
      </c>
      <c r="D165" s="443" t="str">
        <f>'THANG B.LUONG'!$B$49</f>
        <v>Tài xế</v>
      </c>
      <c r="E165" s="493">
        <v>43210</v>
      </c>
      <c r="F165" s="265">
        <v>1</v>
      </c>
      <c r="G165" s="266">
        <f>DATEDIF(E165,$J$3,"y")</f>
        <v>0</v>
      </c>
      <c r="H165" s="266">
        <f>DATEDIF(E165,$J$3,"ym")</f>
        <v>4</v>
      </c>
      <c r="I165" s="267">
        <f>DATEDIF(E165,$J$3,"md")</f>
        <v>5</v>
      </c>
      <c r="J165" s="267">
        <f>VLOOKUP(D165,'THANG B.LUONG'!$B$5:$I$513,F165+1,0)</f>
        <v>0</v>
      </c>
      <c r="K165" s="267">
        <v>0</v>
      </c>
      <c r="L165" s="267">
        <v>0</v>
      </c>
      <c r="M165" s="267">
        <f t="shared" si="184"/>
        <v>0</v>
      </c>
      <c r="N165" s="267">
        <v>0</v>
      </c>
      <c r="O165" s="267">
        <v>0</v>
      </c>
      <c r="P165" s="267">
        <v>0</v>
      </c>
      <c r="Q165" s="267">
        <v>0</v>
      </c>
      <c r="R165" s="267">
        <v>0</v>
      </c>
      <c r="S165" s="267">
        <v>0</v>
      </c>
      <c r="T165" s="267">
        <v>0</v>
      </c>
      <c r="U165" s="267">
        <v>0</v>
      </c>
      <c r="V165" s="268">
        <f>SUM(J165:U165)-P165</f>
        <v>0</v>
      </c>
      <c r="W165" s="269" t="e">
        <f>VLOOKUP(B165,#REF!,35,0)</f>
        <v>#REF!</v>
      </c>
      <c r="X165" s="267" t="e">
        <f>VLOOKUP(B165,#REF!,37,0)</f>
        <v>#REF!</v>
      </c>
      <c r="Y165" s="270" t="e">
        <f>VLOOKUP(B165,#REF!,38,0)</f>
        <v>#REF!</v>
      </c>
      <c r="Z165" s="267" t="e">
        <f>VLOOKUP(B165,#REF!,72,0)</f>
        <v>#REF!</v>
      </c>
      <c r="AA165" s="267" t="e">
        <f>VLOOKUP(B165,#REF!,71,0)</f>
        <v>#REF!</v>
      </c>
      <c r="AB165" s="267" t="e">
        <f>VLOOKUP(B165,#REF!,36,0)</f>
        <v>#REF!</v>
      </c>
      <c r="AC165" s="267" t="e">
        <f>VLOOKUP(B165,#REF!,50,0)</f>
        <v>#REF!</v>
      </c>
      <c r="AD165" s="271" t="e">
        <f>VLOOKUP(B165,#REF!,48,0)</f>
        <v>#REF!</v>
      </c>
      <c r="AE165" s="271" t="e">
        <f>VLOOKUP(B165,#REF!,49,0)</f>
        <v>#REF!</v>
      </c>
      <c r="AF165" s="271" t="e">
        <f>VLOOKUP(B165,#REF!,51,0)</f>
        <v>#REF!</v>
      </c>
      <c r="AG165" s="271" t="e">
        <f>VLOOKUP(B165,#REF!,52,0)</f>
        <v>#REF!</v>
      </c>
      <c r="AH165" s="271">
        <v>0</v>
      </c>
      <c r="AI165" s="271"/>
      <c r="AJ165" s="271"/>
      <c r="AK165" s="268" t="e">
        <f>V165/#REF!*(W165+Z165/8*2+AA165/8*1.5+AB165*3)+J165/#REF!*(X165+Y165)+AC165+P165+AE165+AG165+AH165+AI165+AJ165</f>
        <v>#REF!</v>
      </c>
      <c r="AL165" s="267">
        <f>AM165*$AN$3</f>
        <v>0</v>
      </c>
      <c r="AM165" s="281">
        <v>0</v>
      </c>
      <c r="AN165" s="272" t="e">
        <f>VLOOKUP(B165,#REF!,75,0)</f>
        <v>#REF!</v>
      </c>
      <c r="AO165" s="272"/>
      <c r="AP165" s="273" t="e">
        <f>ROUND(AK165-AL165-AN165+AO165,-1)</f>
        <v>#REF!</v>
      </c>
    </row>
    <row r="166" spans="1:42">
      <c r="A166" s="317"/>
      <c r="B166" s="481"/>
      <c r="C166" s="236" t="s">
        <v>351</v>
      </c>
      <c r="D166" s="235"/>
      <c r="E166" s="494"/>
      <c r="F166" s="235"/>
      <c r="G166" s="235"/>
      <c r="H166" s="235"/>
      <c r="I166" s="235"/>
      <c r="J166" s="235"/>
      <c r="K166" s="235"/>
      <c r="L166" s="235"/>
      <c r="M166" s="235"/>
      <c r="N166" s="235"/>
      <c r="O166" s="235"/>
      <c r="P166" s="235"/>
      <c r="Q166" s="235"/>
      <c r="R166" s="235"/>
      <c r="S166" s="235"/>
      <c r="T166" s="235"/>
      <c r="U166" s="235"/>
      <c r="V166" s="235"/>
      <c r="W166" s="235"/>
      <c r="X166" s="235"/>
      <c r="Y166" s="235"/>
      <c r="Z166" s="235"/>
      <c r="AA166" s="235"/>
      <c r="AB166" s="235"/>
      <c r="AC166" s="235"/>
      <c r="AD166" s="235"/>
      <c r="AE166" s="235"/>
      <c r="AF166" s="260"/>
      <c r="AG166" s="260"/>
      <c r="AH166" s="235"/>
      <c r="AI166" s="235"/>
      <c r="AJ166" s="235"/>
      <c r="AK166" s="261" t="e">
        <f>SUM(AK167:AK181)</f>
        <v>#REF!</v>
      </c>
      <c r="AL166" s="261">
        <f t="shared" ref="AL166:AP166" si="188">SUM(AL167:AL181)</f>
        <v>1441.7549999999999</v>
      </c>
      <c r="AM166" s="261">
        <f t="shared" si="188"/>
        <v>13731</v>
      </c>
      <c r="AN166" s="261" t="e">
        <f t="shared" si="188"/>
        <v>#REF!</v>
      </c>
      <c r="AO166" s="261">
        <f t="shared" si="188"/>
        <v>0</v>
      </c>
      <c r="AP166" s="261" t="e">
        <f t="shared" si="188"/>
        <v>#REF!</v>
      </c>
    </row>
    <row r="167" spans="1:42">
      <c r="A167" s="262"/>
      <c r="B167" s="271" t="s">
        <v>373</v>
      </c>
      <c r="C167" s="232" t="s">
        <v>447</v>
      </c>
      <c r="D167" s="324" t="str">
        <f>'THANG B.LUONG'!$B$53</f>
        <v>NV Giao nhận/ Phụ xe</v>
      </c>
      <c r="E167" s="493">
        <v>42390</v>
      </c>
      <c r="F167" s="265">
        <v>1</v>
      </c>
      <c r="G167" s="266">
        <f t="shared" ref="G167:G176" si="189">DATEDIF(E167,$J$3,"y")</f>
        <v>2</v>
      </c>
      <c r="H167" s="266">
        <f t="shared" ref="H167:H176" si="190">DATEDIF(E167,$J$3,"ym")</f>
        <v>7</v>
      </c>
      <c r="I167" s="267">
        <f t="shared" ref="I167:I176" si="191">DATEDIF(E167,$J$3,"md")</f>
        <v>4</v>
      </c>
      <c r="J167" s="267">
        <f>VLOOKUP(D167,'THANG B.LUONG'!$B$5:$I$513,F167+1,0)</f>
        <v>0</v>
      </c>
      <c r="K167" s="267">
        <v>0</v>
      </c>
      <c r="L167" s="267">
        <v>0</v>
      </c>
      <c r="M167" s="267">
        <f t="shared" ref="M167:M178" si="192">IF(G167&gt;=3,J167*(0.03+(G167-3)*0.01),0)</f>
        <v>0</v>
      </c>
      <c r="N167" s="267">
        <v>0</v>
      </c>
      <c r="O167" s="267">
        <v>0</v>
      </c>
      <c r="P167" s="267">
        <v>0</v>
      </c>
      <c r="Q167" s="267">
        <v>0</v>
      </c>
      <c r="R167" s="267">
        <v>0</v>
      </c>
      <c r="S167" s="267">
        <v>0</v>
      </c>
      <c r="T167" s="267">
        <v>0</v>
      </c>
      <c r="U167" s="267">
        <v>0</v>
      </c>
      <c r="V167" s="268">
        <f t="shared" si="187"/>
        <v>0</v>
      </c>
      <c r="W167" s="269" t="e">
        <f>VLOOKUP(B167,#REF!,35,0)</f>
        <v>#REF!</v>
      </c>
      <c r="X167" s="267" t="e">
        <f>VLOOKUP(B167,#REF!,37,0)</f>
        <v>#REF!</v>
      </c>
      <c r="Y167" s="270" t="e">
        <f>VLOOKUP(B167,#REF!,38,0)</f>
        <v>#REF!</v>
      </c>
      <c r="Z167" s="267" t="e">
        <f>VLOOKUP(B167,#REF!,72,0)</f>
        <v>#REF!</v>
      </c>
      <c r="AA167" s="267" t="e">
        <f>VLOOKUP(B167,#REF!,71,0)</f>
        <v>#REF!</v>
      </c>
      <c r="AB167" s="267" t="e">
        <f>VLOOKUP(B167,#REF!,36,0)</f>
        <v>#REF!</v>
      </c>
      <c r="AC167" s="267" t="e">
        <f>VLOOKUP(B167,#REF!,50,0)</f>
        <v>#REF!</v>
      </c>
      <c r="AD167" s="271" t="e">
        <f>VLOOKUP(B167,#REF!,4,0)/1000</f>
        <v>#REF!</v>
      </c>
      <c r="AE167" s="271" t="e">
        <f>VLOOKUP(B167,#REF!,5,0)</f>
        <v>#REF!</v>
      </c>
      <c r="AF167" s="271" t="e">
        <f>VLOOKUP(B167,#REF!,51,0)</f>
        <v>#REF!</v>
      </c>
      <c r="AG167" s="271" t="e">
        <f>VLOOKUP(B167,#REF!,52,0)</f>
        <v>#REF!</v>
      </c>
      <c r="AH167" s="271"/>
      <c r="AI167" s="271"/>
      <c r="AJ167" s="271"/>
      <c r="AK167" s="268" t="e">
        <f>V167/#REF!*(W167+Z167/8*2+AA167/8*1.5+AB167*3)+J167/#REF!*(X167+Y167)+AC167+P167+AE167+AG167+AH167+AI167+AJ167</f>
        <v>#REF!</v>
      </c>
      <c r="AL167" s="267">
        <f t="shared" si="185"/>
        <v>480.58499999999998</v>
      </c>
      <c r="AM167" s="414">
        <v>4577</v>
      </c>
      <c r="AN167" s="272" t="e">
        <f>VLOOKUP(B167,#REF!,75,0)</f>
        <v>#REF!</v>
      </c>
      <c r="AO167" s="272"/>
      <c r="AP167" s="273" t="e">
        <f t="shared" ref="AP167:AP176" si="193">ROUND(AK167-AL167-AN167+AO167,-1)</f>
        <v>#REF!</v>
      </c>
    </row>
    <row r="168" spans="1:42">
      <c r="A168" s="262"/>
      <c r="B168" s="271" t="s">
        <v>374</v>
      </c>
      <c r="C168" s="232" t="s">
        <v>448</v>
      </c>
      <c r="D168" s="324" t="str">
        <f>'THANG B.LUONG'!$B$53</f>
        <v>NV Giao nhận/ Phụ xe</v>
      </c>
      <c r="E168" s="493">
        <v>42217</v>
      </c>
      <c r="F168" s="265">
        <v>1</v>
      </c>
      <c r="G168" s="266">
        <f t="shared" si="189"/>
        <v>3</v>
      </c>
      <c r="H168" s="266">
        <f t="shared" si="190"/>
        <v>0</v>
      </c>
      <c r="I168" s="267">
        <f t="shared" si="191"/>
        <v>24</v>
      </c>
      <c r="J168" s="267">
        <f>VLOOKUP(D168,'THANG B.LUONG'!$B$5:$I$513,F168+1,0)</f>
        <v>0</v>
      </c>
      <c r="K168" s="267">
        <v>0</v>
      </c>
      <c r="L168" s="267">
        <v>0</v>
      </c>
      <c r="M168" s="267">
        <f t="shared" si="192"/>
        <v>0</v>
      </c>
      <c r="N168" s="267">
        <v>0</v>
      </c>
      <c r="O168" s="267">
        <v>0</v>
      </c>
      <c r="P168" s="267">
        <v>0</v>
      </c>
      <c r="Q168" s="267">
        <v>0</v>
      </c>
      <c r="R168" s="267">
        <v>0</v>
      </c>
      <c r="S168" s="267">
        <v>0</v>
      </c>
      <c r="T168" s="267">
        <v>0</v>
      </c>
      <c r="U168" s="267">
        <v>0</v>
      </c>
      <c r="V168" s="268">
        <f t="shared" si="187"/>
        <v>0</v>
      </c>
      <c r="W168" s="269" t="e">
        <f>VLOOKUP(B168,#REF!,35,0)</f>
        <v>#REF!</v>
      </c>
      <c r="X168" s="267" t="e">
        <f>VLOOKUP(B168,#REF!,37,0)</f>
        <v>#REF!</v>
      </c>
      <c r="Y168" s="270" t="e">
        <f>VLOOKUP(B168,#REF!,38,0)</f>
        <v>#REF!</v>
      </c>
      <c r="Z168" s="267" t="e">
        <f>VLOOKUP(B168,#REF!,72,0)</f>
        <v>#REF!</v>
      </c>
      <c r="AA168" s="267" t="e">
        <f>VLOOKUP(B168,#REF!,71,0)</f>
        <v>#REF!</v>
      </c>
      <c r="AB168" s="267" t="e">
        <f>VLOOKUP(B168,#REF!,36,0)</f>
        <v>#REF!</v>
      </c>
      <c r="AC168" s="267" t="e">
        <f>VLOOKUP(B168,#REF!,50,0)</f>
        <v>#REF!</v>
      </c>
      <c r="AD168" s="271" t="e">
        <f>VLOOKUP(B168,#REF!,4,0)/1000</f>
        <v>#REF!</v>
      </c>
      <c r="AE168" s="271" t="e">
        <f>VLOOKUP(B168,#REF!,5,0)</f>
        <v>#REF!</v>
      </c>
      <c r="AF168" s="271" t="e">
        <f>VLOOKUP(B168,#REF!,51,0)</f>
        <v>#REF!</v>
      </c>
      <c r="AG168" s="271" t="e">
        <f>VLOOKUP(B168,#REF!,52,0)</f>
        <v>#REF!</v>
      </c>
      <c r="AH168" s="271"/>
      <c r="AI168" s="271"/>
      <c r="AJ168" s="271"/>
      <c r="AK168" s="268" t="e">
        <f>V168/#REF!*(W168+Z168/8*2+AA168/8*1.5+AB168*3)+J168/#REF!*(X168+Y168)+AC168+P168+AE168+AG168+AH168+AI168+AJ168</f>
        <v>#REF!</v>
      </c>
      <c r="AL168" s="267">
        <f t="shared" si="185"/>
        <v>480.58499999999998</v>
      </c>
      <c r="AM168" s="414">
        <v>4577</v>
      </c>
      <c r="AN168" s="272" t="e">
        <f>VLOOKUP(B168,#REF!,75,0)</f>
        <v>#REF!</v>
      </c>
      <c r="AO168" s="272"/>
      <c r="AP168" s="273" t="e">
        <f t="shared" si="193"/>
        <v>#REF!</v>
      </c>
    </row>
    <row r="169" spans="1:42">
      <c r="A169" s="262"/>
      <c r="B169" s="271" t="s">
        <v>375</v>
      </c>
      <c r="C169" s="232" t="s">
        <v>449</v>
      </c>
      <c r="D169" s="324" t="str">
        <f>'THANG B.LUONG'!$B$53</f>
        <v>NV Giao nhận/ Phụ xe</v>
      </c>
      <c r="E169" s="493">
        <v>42689</v>
      </c>
      <c r="F169" s="265">
        <v>1</v>
      </c>
      <c r="G169" s="266">
        <f t="shared" si="189"/>
        <v>1</v>
      </c>
      <c r="H169" s="266">
        <f t="shared" si="190"/>
        <v>9</v>
      </c>
      <c r="I169" s="267">
        <f t="shared" si="191"/>
        <v>10</v>
      </c>
      <c r="J169" s="267">
        <f>VLOOKUP(D169,'THANG B.LUONG'!$B$5:$I$513,F169+1,0)</f>
        <v>0</v>
      </c>
      <c r="K169" s="267">
        <v>0</v>
      </c>
      <c r="L169" s="267">
        <v>0</v>
      </c>
      <c r="M169" s="267">
        <f t="shared" si="192"/>
        <v>0</v>
      </c>
      <c r="N169" s="267">
        <v>0</v>
      </c>
      <c r="O169" s="267">
        <v>0</v>
      </c>
      <c r="P169" s="267">
        <v>0</v>
      </c>
      <c r="Q169" s="267">
        <v>0</v>
      </c>
      <c r="R169" s="267">
        <v>0</v>
      </c>
      <c r="S169" s="267">
        <v>0</v>
      </c>
      <c r="T169" s="267">
        <v>0</v>
      </c>
      <c r="U169" s="267">
        <v>0</v>
      </c>
      <c r="V169" s="268">
        <f t="shared" si="187"/>
        <v>0</v>
      </c>
      <c r="W169" s="269" t="e">
        <f>VLOOKUP(B169,#REF!,35,0)</f>
        <v>#REF!</v>
      </c>
      <c r="X169" s="267" t="e">
        <f>VLOOKUP(B169,#REF!,37,0)</f>
        <v>#REF!</v>
      </c>
      <c r="Y169" s="270" t="e">
        <f>VLOOKUP(B169,#REF!,38,0)</f>
        <v>#REF!</v>
      </c>
      <c r="Z169" s="267" t="e">
        <f>VLOOKUP(B169,#REF!,72,0)</f>
        <v>#REF!</v>
      </c>
      <c r="AA169" s="267" t="e">
        <f>VLOOKUP(B169,#REF!,71,0)</f>
        <v>#REF!</v>
      </c>
      <c r="AB169" s="267" t="e">
        <f>VLOOKUP(B169,#REF!,36,0)</f>
        <v>#REF!</v>
      </c>
      <c r="AC169" s="267" t="e">
        <f>VLOOKUP(B169,#REF!,50,0)</f>
        <v>#REF!</v>
      </c>
      <c r="AD169" s="271" t="e">
        <f>VLOOKUP(B169,#REF!,4,0)/1000</f>
        <v>#REF!</v>
      </c>
      <c r="AE169" s="271" t="e">
        <f>VLOOKUP(B169,#REF!,5,0)</f>
        <v>#REF!</v>
      </c>
      <c r="AF169" s="271" t="e">
        <f>VLOOKUP(B169,#REF!,51,0)</f>
        <v>#REF!</v>
      </c>
      <c r="AG169" s="271" t="e">
        <f>VLOOKUP(B169,#REF!,52,0)</f>
        <v>#REF!</v>
      </c>
      <c r="AH169" s="271"/>
      <c r="AI169" s="271"/>
      <c r="AJ169" s="271"/>
      <c r="AK169" s="268" t="e">
        <f>V169/#REF!*(W169+Z169/8*2+AA169/8*1.5+AB169*3)+J169/#REF!*(X169+Y169)+AC169+P169+AE169+AG169+AH169+AI169+AJ169</f>
        <v>#REF!</v>
      </c>
      <c r="AL169" s="267">
        <f t="shared" si="185"/>
        <v>480.58499999999998</v>
      </c>
      <c r="AM169" s="414">
        <v>4577</v>
      </c>
      <c r="AN169" s="272" t="e">
        <f>VLOOKUP(B169,#REF!,75,0)</f>
        <v>#REF!</v>
      </c>
      <c r="AO169" s="272"/>
      <c r="AP169" s="273" t="e">
        <f t="shared" si="193"/>
        <v>#REF!</v>
      </c>
    </row>
    <row r="170" spans="1:42">
      <c r="A170" s="262"/>
      <c r="B170" s="271" t="s">
        <v>376</v>
      </c>
      <c r="C170" s="232" t="s">
        <v>450</v>
      </c>
      <c r="D170" s="324" t="str">
        <f>'THANG B.LUONG'!$B$53</f>
        <v>NV Giao nhận/ Phụ xe</v>
      </c>
      <c r="E170" s="493">
        <v>42923</v>
      </c>
      <c r="F170" s="265">
        <v>1</v>
      </c>
      <c r="G170" s="266">
        <f t="shared" si="189"/>
        <v>1</v>
      </c>
      <c r="H170" s="266">
        <f t="shared" si="190"/>
        <v>1</v>
      </c>
      <c r="I170" s="267">
        <f t="shared" si="191"/>
        <v>18</v>
      </c>
      <c r="J170" s="267">
        <f>VLOOKUP(D170,'THANG B.LUONG'!$B$5:$I$513,F170+1,0)</f>
        <v>0</v>
      </c>
      <c r="K170" s="267">
        <v>0</v>
      </c>
      <c r="L170" s="267">
        <v>0</v>
      </c>
      <c r="M170" s="267">
        <f t="shared" si="192"/>
        <v>0</v>
      </c>
      <c r="N170" s="267">
        <v>0</v>
      </c>
      <c r="O170" s="267">
        <v>0</v>
      </c>
      <c r="P170" s="267">
        <v>0</v>
      </c>
      <c r="Q170" s="267">
        <v>0</v>
      </c>
      <c r="R170" s="267">
        <v>0</v>
      </c>
      <c r="S170" s="267">
        <v>0</v>
      </c>
      <c r="T170" s="267">
        <v>0</v>
      </c>
      <c r="U170" s="267">
        <v>0</v>
      </c>
      <c r="V170" s="268">
        <f t="shared" si="187"/>
        <v>0</v>
      </c>
      <c r="W170" s="269" t="e">
        <f>VLOOKUP(B170,#REF!,35,0)</f>
        <v>#REF!</v>
      </c>
      <c r="X170" s="267" t="e">
        <f>VLOOKUP(B170,#REF!,37,0)</f>
        <v>#REF!</v>
      </c>
      <c r="Y170" s="270" t="e">
        <f>VLOOKUP(B170,#REF!,38,0)</f>
        <v>#REF!</v>
      </c>
      <c r="Z170" s="267" t="e">
        <f>VLOOKUP(B170,#REF!,72,0)</f>
        <v>#REF!</v>
      </c>
      <c r="AA170" s="267" t="e">
        <f>VLOOKUP(B170,#REF!,71,0)</f>
        <v>#REF!</v>
      </c>
      <c r="AB170" s="267" t="e">
        <f>VLOOKUP(B170,#REF!,36,0)</f>
        <v>#REF!</v>
      </c>
      <c r="AC170" s="267" t="e">
        <f>VLOOKUP(B170,#REF!,50,0)</f>
        <v>#REF!</v>
      </c>
      <c r="AD170" s="271" t="e">
        <f>VLOOKUP(B170,#REF!,4,0)/1000</f>
        <v>#REF!</v>
      </c>
      <c r="AE170" s="271" t="e">
        <f>VLOOKUP(B170,#REF!,5,0)</f>
        <v>#REF!</v>
      </c>
      <c r="AF170" s="271" t="e">
        <f>VLOOKUP(B170,#REF!,51,0)</f>
        <v>#REF!</v>
      </c>
      <c r="AG170" s="271" t="e">
        <f>VLOOKUP(B170,#REF!,52,0)</f>
        <v>#REF!</v>
      </c>
      <c r="AH170" s="271"/>
      <c r="AI170" s="271"/>
      <c r="AJ170" s="271"/>
      <c r="AK170" s="268" t="e">
        <f>V170/#REF!*(W170+Z170/8*2+AA170/8*1.5+AB170*3)+J170/#REF!*(X170+Y170)+AC170+P170+AE170+AG170+AH170+AI170+AJ170</f>
        <v>#REF!</v>
      </c>
      <c r="AL170" s="267">
        <f t="shared" si="185"/>
        <v>0</v>
      </c>
      <c r="AM170" s="281">
        <v>0</v>
      </c>
      <c r="AN170" s="272" t="e">
        <f>VLOOKUP(B170,#REF!,75,0)</f>
        <v>#REF!</v>
      </c>
      <c r="AO170" s="272"/>
      <c r="AP170" s="273" t="e">
        <f t="shared" si="193"/>
        <v>#REF!</v>
      </c>
    </row>
    <row r="171" spans="1:42">
      <c r="A171" s="262"/>
      <c r="B171" s="271" t="s">
        <v>377</v>
      </c>
      <c r="C171" s="232" t="s">
        <v>451</v>
      </c>
      <c r="D171" s="324" t="str">
        <f>'THANG B.LUONG'!$B$53</f>
        <v>NV Giao nhận/ Phụ xe</v>
      </c>
      <c r="E171" s="493">
        <v>42982</v>
      </c>
      <c r="F171" s="265">
        <v>1</v>
      </c>
      <c r="G171" s="266">
        <f t="shared" si="189"/>
        <v>0</v>
      </c>
      <c r="H171" s="266">
        <f t="shared" si="190"/>
        <v>11</v>
      </c>
      <c r="I171" s="267">
        <f t="shared" si="191"/>
        <v>21</v>
      </c>
      <c r="J171" s="267">
        <f>VLOOKUP(D171,'THANG B.LUONG'!$B$5:$I$513,F171+1,0)</f>
        <v>0</v>
      </c>
      <c r="K171" s="267">
        <v>0</v>
      </c>
      <c r="L171" s="267">
        <v>0</v>
      </c>
      <c r="M171" s="267">
        <f t="shared" si="192"/>
        <v>0</v>
      </c>
      <c r="N171" s="267">
        <v>0</v>
      </c>
      <c r="O171" s="267">
        <v>0</v>
      </c>
      <c r="P171" s="267">
        <v>0</v>
      </c>
      <c r="Q171" s="267">
        <v>0</v>
      </c>
      <c r="R171" s="267">
        <v>0</v>
      </c>
      <c r="S171" s="267">
        <v>0</v>
      </c>
      <c r="T171" s="267">
        <v>0</v>
      </c>
      <c r="U171" s="267">
        <v>0</v>
      </c>
      <c r="V171" s="268">
        <f t="shared" si="187"/>
        <v>0</v>
      </c>
      <c r="W171" s="269" t="e">
        <f>VLOOKUP(B171,#REF!,35,0)</f>
        <v>#REF!</v>
      </c>
      <c r="X171" s="267" t="e">
        <f>VLOOKUP(B171,#REF!,37,0)</f>
        <v>#REF!</v>
      </c>
      <c r="Y171" s="270" t="e">
        <f>VLOOKUP(B171,#REF!,38,0)</f>
        <v>#REF!</v>
      </c>
      <c r="Z171" s="267" t="e">
        <f>VLOOKUP(B171,#REF!,72,0)</f>
        <v>#REF!</v>
      </c>
      <c r="AA171" s="267" t="e">
        <f>VLOOKUP(B171,#REF!,71,0)</f>
        <v>#REF!</v>
      </c>
      <c r="AB171" s="267" t="e">
        <f>VLOOKUP(B171,#REF!,36,0)</f>
        <v>#REF!</v>
      </c>
      <c r="AC171" s="267" t="e">
        <f>VLOOKUP(B171,#REF!,50,0)</f>
        <v>#REF!</v>
      </c>
      <c r="AD171" s="271" t="e">
        <f>VLOOKUP(B171,#REF!,4,0)/1000</f>
        <v>#REF!</v>
      </c>
      <c r="AE171" s="271" t="e">
        <f>VLOOKUP(B171,#REF!,5,0)</f>
        <v>#REF!</v>
      </c>
      <c r="AF171" s="271" t="e">
        <f>VLOOKUP(B171,#REF!,51,0)</f>
        <v>#REF!</v>
      </c>
      <c r="AG171" s="271" t="e">
        <f>VLOOKUP(B171,#REF!,52,0)</f>
        <v>#REF!</v>
      </c>
      <c r="AH171" s="271"/>
      <c r="AI171" s="271"/>
      <c r="AJ171" s="271"/>
      <c r="AK171" s="268" t="e">
        <f>V171/#REF!*(W171+Z171/8*2+AA171/8*1.5+AB171*3)+J171/#REF!*(X171+Y171)+AC171+P171+AE171+AG171+AH171+AI171+AJ171</f>
        <v>#REF!</v>
      </c>
      <c r="AL171" s="267">
        <f t="shared" si="185"/>
        <v>0</v>
      </c>
      <c r="AM171" s="281">
        <v>0</v>
      </c>
      <c r="AN171" s="272" t="e">
        <f>VLOOKUP(B171,#REF!,75,0)</f>
        <v>#REF!</v>
      </c>
      <c r="AO171" s="272"/>
      <c r="AP171" s="273" t="e">
        <f t="shared" si="193"/>
        <v>#REF!</v>
      </c>
    </row>
    <row r="172" spans="1:42">
      <c r="A172" s="262"/>
      <c r="B172" s="271" t="s">
        <v>378</v>
      </c>
      <c r="C172" s="232" t="s">
        <v>452</v>
      </c>
      <c r="D172" s="324" t="str">
        <f>'THANG B.LUONG'!$B$53</f>
        <v>NV Giao nhận/ Phụ xe</v>
      </c>
      <c r="E172" s="493">
        <v>43005</v>
      </c>
      <c r="F172" s="265">
        <v>1</v>
      </c>
      <c r="G172" s="266">
        <f t="shared" si="189"/>
        <v>0</v>
      </c>
      <c r="H172" s="266">
        <f t="shared" si="190"/>
        <v>10</v>
      </c>
      <c r="I172" s="267">
        <f t="shared" si="191"/>
        <v>29</v>
      </c>
      <c r="J172" s="267">
        <f>VLOOKUP(D172,'THANG B.LUONG'!$B$5:$I$513,F172+1,0)</f>
        <v>0</v>
      </c>
      <c r="K172" s="267">
        <v>0</v>
      </c>
      <c r="L172" s="267">
        <v>0</v>
      </c>
      <c r="M172" s="267">
        <f t="shared" si="192"/>
        <v>0</v>
      </c>
      <c r="N172" s="267">
        <v>0</v>
      </c>
      <c r="O172" s="267">
        <v>0</v>
      </c>
      <c r="P172" s="267">
        <v>0</v>
      </c>
      <c r="Q172" s="267">
        <v>0</v>
      </c>
      <c r="R172" s="267">
        <v>0</v>
      </c>
      <c r="S172" s="267">
        <v>0</v>
      </c>
      <c r="T172" s="267">
        <v>0</v>
      </c>
      <c r="U172" s="267">
        <v>0</v>
      </c>
      <c r="V172" s="268">
        <f t="shared" si="187"/>
        <v>0</v>
      </c>
      <c r="W172" s="269" t="e">
        <f>VLOOKUP(B172,#REF!,35,0)</f>
        <v>#REF!</v>
      </c>
      <c r="X172" s="267" t="e">
        <f>VLOOKUP(B172,#REF!,37,0)</f>
        <v>#REF!</v>
      </c>
      <c r="Y172" s="270" t="e">
        <f>VLOOKUP(B172,#REF!,38,0)</f>
        <v>#REF!</v>
      </c>
      <c r="Z172" s="267" t="e">
        <f>VLOOKUP(B172,#REF!,72,0)</f>
        <v>#REF!</v>
      </c>
      <c r="AA172" s="267" t="e">
        <f>VLOOKUP(B172,#REF!,71,0)</f>
        <v>#REF!</v>
      </c>
      <c r="AB172" s="267" t="e">
        <f>VLOOKUP(B172,#REF!,36,0)</f>
        <v>#REF!</v>
      </c>
      <c r="AC172" s="267" t="e">
        <f>VLOOKUP(B172,#REF!,50,0)</f>
        <v>#REF!</v>
      </c>
      <c r="AD172" s="271" t="e">
        <f>VLOOKUP(B172,#REF!,4,0)/1000</f>
        <v>#REF!</v>
      </c>
      <c r="AE172" s="271" t="e">
        <f>VLOOKUP(B172,#REF!,5,0)</f>
        <v>#REF!</v>
      </c>
      <c r="AF172" s="271" t="e">
        <f>VLOOKUP(B172,#REF!,51,0)</f>
        <v>#REF!</v>
      </c>
      <c r="AG172" s="271" t="e">
        <f>VLOOKUP(B172,#REF!,52,0)</f>
        <v>#REF!</v>
      </c>
      <c r="AH172" s="271"/>
      <c r="AI172" s="271"/>
      <c r="AJ172" s="271"/>
      <c r="AK172" s="268" t="e">
        <f>V172/#REF!*(W172+Z172/8*2+AA172/8*1.5+AB172*3)+J172/#REF!*(X172+Y172)+AC172+P172+AE172+AG172+AH172+AI172+AJ172</f>
        <v>#REF!</v>
      </c>
      <c r="AL172" s="267">
        <f t="shared" si="185"/>
        <v>0</v>
      </c>
      <c r="AM172" s="281">
        <v>0</v>
      </c>
      <c r="AN172" s="272" t="e">
        <f>VLOOKUP(B172,#REF!,75,0)</f>
        <v>#REF!</v>
      </c>
      <c r="AO172" s="272"/>
      <c r="AP172" s="273" t="e">
        <f t="shared" si="193"/>
        <v>#REF!</v>
      </c>
    </row>
    <row r="173" spans="1:42">
      <c r="A173" s="262"/>
      <c r="B173" s="271" t="s">
        <v>379</v>
      </c>
      <c r="C173" s="232" t="s">
        <v>453</v>
      </c>
      <c r="D173" s="324" t="str">
        <f>'THANG B.LUONG'!$B$53</f>
        <v>NV Giao nhận/ Phụ xe</v>
      </c>
      <c r="E173" s="493">
        <v>42998</v>
      </c>
      <c r="F173" s="265">
        <v>1</v>
      </c>
      <c r="G173" s="266">
        <f t="shared" si="189"/>
        <v>0</v>
      </c>
      <c r="H173" s="266">
        <f t="shared" si="190"/>
        <v>11</v>
      </c>
      <c r="I173" s="267">
        <f t="shared" si="191"/>
        <v>5</v>
      </c>
      <c r="J173" s="267">
        <f>VLOOKUP(D173,'THANG B.LUONG'!$B$5:$I$513,F173+1,0)</f>
        <v>0</v>
      </c>
      <c r="K173" s="267">
        <v>0</v>
      </c>
      <c r="L173" s="267">
        <v>0</v>
      </c>
      <c r="M173" s="267">
        <f t="shared" si="192"/>
        <v>0</v>
      </c>
      <c r="N173" s="267">
        <v>0</v>
      </c>
      <c r="O173" s="267">
        <v>0</v>
      </c>
      <c r="P173" s="267">
        <v>0</v>
      </c>
      <c r="Q173" s="267">
        <v>0</v>
      </c>
      <c r="R173" s="267">
        <v>0</v>
      </c>
      <c r="S173" s="267">
        <v>0</v>
      </c>
      <c r="T173" s="267">
        <v>0</v>
      </c>
      <c r="U173" s="267">
        <v>0</v>
      </c>
      <c r="V173" s="268">
        <f t="shared" si="187"/>
        <v>0</v>
      </c>
      <c r="W173" s="269" t="e">
        <f>VLOOKUP(B173,#REF!,35,0)</f>
        <v>#REF!</v>
      </c>
      <c r="X173" s="267" t="e">
        <f>VLOOKUP(B173,#REF!,37,0)</f>
        <v>#REF!</v>
      </c>
      <c r="Y173" s="270" t="e">
        <f>VLOOKUP(B173,#REF!,38,0)</f>
        <v>#REF!</v>
      </c>
      <c r="Z173" s="267" t="e">
        <f>VLOOKUP(B173,#REF!,72,0)</f>
        <v>#REF!</v>
      </c>
      <c r="AA173" s="267" t="e">
        <f>VLOOKUP(B173,#REF!,71,0)</f>
        <v>#REF!</v>
      </c>
      <c r="AB173" s="267" t="e">
        <f>VLOOKUP(B173,#REF!,36,0)</f>
        <v>#REF!</v>
      </c>
      <c r="AC173" s="267" t="e">
        <f>VLOOKUP(B173,#REF!,50,0)</f>
        <v>#REF!</v>
      </c>
      <c r="AD173" s="271" t="e">
        <f>VLOOKUP(B173,#REF!,4,0)/1000</f>
        <v>#REF!</v>
      </c>
      <c r="AE173" s="271" t="e">
        <f>VLOOKUP(B173,#REF!,5,0)</f>
        <v>#REF!</v>
      </c>
      <c r="AF173" s="271" t="e">
        <f>VLOOKUP(B173,#REF!,51,0)</f>
        <v>#REF!</v>
      </c>
      <c r="AG173" s="271" t="e">
        <f>VLOOKUP(B173,#REF!,52,0)</f>
        <v>#REF!</v>
      </c>
      <c r="AH173" s="271"/>
      <c r="AI173" s="271"/>
      <c r="AJ173" s="271"/>
      <c r="AK173" s="268" t="e">
        <f>V173/#REF!*(W173+Z173/8*2+AA173/8*1.5+AB173*3)+J173/#REF!*(X173+Y173)+AC173+P173+AE173+AG173+AH173+AI173+AJ173</f>
        <v>#REF!</v>
      </c>
      <c r="AL173" s="267">
        <f t="shared" si="185"/>
        <v>0</v>
      </c>
      <c r="AM173" s="281">
        <v>0</v>
      </c>
      <c r="AN173" s="272" t="e">
        <f>VLOOKUP(B173,#REF!,75,0)</f>
        <v>#REF!</v>
      </c>
      <c r="AO173" s="272"/>
      <c r="AP173" s="273" t="e">
        <f t="shared" si="193"/>
        <v>#REF!</v>
      </c>
    </row>
    <row r="174" spans="1:42">
      <c r="A174" s="262"/>
      <c r="B174" s="271" t="s">
        <v>380</v>
      </c>
      <c r="C174" s="232" t="s">
        <v>454</v>
      </c>
      <c r="D174" s="324" t="str">
        <f>'THANG B.LUONG'!$B$53</f>
        <v>NV Giao nhận/ Phụ xe</v>
      </c>
      <c r="E174" s="493">
        <v>43003</v>
      </c>
      <c r="F174" s="265">
        <v>1</v>
      </c>
      <c r="G174" s="266">
        <f t="shared" si="189"/>
        <v>0</v>
      </c>
      <c r="H174" s="266">
        <f t="shared" si="190"/>
        <v>11</v>
      </c>
      <c r="I174" s="267">
        <f t="shared" si="191"/>
        <v>0</v>
      </c>
      <c r="J174" s="267">
        <f>VLOOKUP(D174,'THANG B.LUONG'!$B$5:$I$513,F174+1,0)</f>
        <v>0</v>
      </c>
      <c r="K174" s="267">
        <v>0</v>
      </c>
      <c r="L174" s="267">
        <v>0</v>
      </c>
      <c r="M174" s="267">
        <f t="shared" si="192"/>
        <v>0</v>
      </c>
      <c r="N174" s="267">
        <v>0</v>
      </c>
      <c r="O174" s="267">
        <v>0</v>
      </c>
      <c r="P174" s="267">
        <v>0</v>
      </c>
      <c r="Q174" s="267">
        <v>0</v>
      </c>
      <c r="R174" s="267">
        <v>0</v>
      </c>
      <c r="S174" s="267">
        <v>0</v>
      </c>
      <c r="T174" s="267">
        <v>0</v>
      </c>
      <c r="U174" s="267">
        <v>0</v>
      </c>
      <c r="V174" s="268">
        <f t="shared" si="187"/>
        <v>0</v>
      </c>
      <c r="W174" s="269" t="e">
        <f>VLOOKUP(B174,#REF!,35,0)</f>
        <v>#REF!</v>
      </c>
      <c r="X174" s="267" t="e">
        <f>VLOOKUP(B174,#REF!,37,0)</f>
        <v>#REF!</v>
      </c>
      <c r="Y174" s="270" t="e">
        <f>VLOOKUP(B174,#REF!,38,0)</f>
        <v>#REF!</v>
      </c>
      <c r="Z174" s="267" t="e">
        <f>VLOOKUP(B174,#REF!,72,0)</f>
        <v>#REF!</v>
      </c>
      <c r="AA174" s="267" t="e">
        <f>VLOOKUP(B174,#REF!,71,0)</f>
        <v>#REF!</v>
      </c>
      <c r="AB174" s="267" t="e">
        <f>VLOOKUP(B174,#REF!,36,0)</f>
        <v>#REF!</v>
      </c>
      <c r="AC174" s="267" t="e">
        <f>VLOOKUP(B174,#REF!,50,0)</f>
        <v>#REF!</v>
      </c>
      <c r="AD174" s="271" t="e">
        <f>VLOOKUP(B174,#REF!,4,0)/1000</f>
        <v>#REF!</v>
      </c>
      <c r="AE174" s="271" t="e">
        <f>VLOOKUP(B174,#REF!,5,0)</f>
        <v>#REF!</v>
      </c>
      <c r="AF174" s="271" t="e">
        <f>VLOOKUP(B174,#REF!,51,0)</f>
        <v>#REF!</v>
      </c>
      <c r="AG174" s="271" t="e">
        <f>VLOOKUP(B174,#REF!,52,0)</f>
        <v>#REF!</v>
      </c>
      <c r="AH174" s="271"/>
      <c r="AI174" s="271"/>
      <c r="AJ174" s="271"/>
      <c r="AK174" s="268" t="e">
        <f>V174/#REF!*(W174+Z174/8*2+AA174/8*1.5+AB174*3)+J174/#REF!*(X174+Y174)+AC174+P174+AE174+AG174+AH174+AI174+AJ174</f>
        <v>#REF!</v>
      </c>
      <c r="AL174" s="267">
        <f t="shared" si="185"/>
        <v>0</v>
      </c>
      <c r="AM174" s="281">
        <v>0</v>
      </c>
      <c r="AN174" s="272" t="e">
        <f>VLOOKUP(B174,#REF!,75,0)</f>
        <v>#REF!</v>
      </c>
      <c r="AO174" s="272"/>
      <c r="AP174" s="273" t="e">
        <f t="shared" si="193"/>
        <v>#REF!</v>
      </c>
    </row>
    <row r="175" spans="1:42">
      <c r="A175" s="262"/>
      <c r="B175" s="271" t="s">
        <v>602</v>
      </c>
      <c r="C175" s="232" t="s">
        <v>455</v>
      </c>
      <c r="D175" s="324" t="str">
        <f>'THANG B.LUONG'!$B$53</f>
        <v>NV Giao nhận/ Phụ xe</v>
      </c>
      <c r="E175" s="493">
        <v>43004</v>
      </c>
      <c r="F175" s="265">
        <v>1</v>
      </c>
      <c r="G175" s="266">
        <f t="shared" si="189"/>
        <v>0</v>
      </c>
      <c r="H175" s="266">
        <f t="shared" si="190"/>
        <v>10</v>
      </c>
      <c r="I175" s="267">
        <f t="shared" si="191"/>
        <v>30</v>
      </c>
      <c r="J175" s="267">
        <f>VLOOKUP(D175,'THANG B.LUONG'!$B$5:$I$513,F175+1,0)</f>
        <v>0</v>
      </c>
      <c r="K175" s="267">
        <v>0</v>
      </c>
      <c r="L175" s="267">
        <v>0</v>
      </c>
      <c r="M175" s="267">
        <f t="shared" si="192"/>
        <v>0</v>
      </c>
      <c r="N175" s="267">
        <v>0</v>
      </c>
      <c r="O175" s="267">
        <v>0</v>
      </c>
      <c r="P175" s="267">
        <v>0</v>
      </c>
      <c r="Q175" s="267">
        <v>0</v>
      </c>
      <c r="R175" s="267">
        <v>0</v>
      </c>
      <c r="S175" s="267">
        <v>0</v>
      </c>
      <c r="T175" s="267">
        <v>0</v>
      </c>
      <c r="U175" s="267">
        <v>0</v>
      </c>
      <c r="V175" s="268">
        <f t="shared" si="187"/>
        <v>0</v>
      </c>
      <c r="W175" s="269" t="e">
        <f>VLOOKUP(B175,#REF!,35,0)</f>
        <v>#REF!</v>
      </c>
      <c r="X175" s="267" t="e">
        <f>VLOOKUP(B175,#REF!,37,0)</f>
        <v>#REF!</v>
      </c>
      <c r="Y175" s="270" t="e">
        <f>VLOOKUP(B175,#REF!,38,0)</f>
        <v>#REF!</v>
      </c>
      <c r="Z175" s="267" t="e">
        <f>VLOOKUP(B175,#REF!,72,0)</f>
        <v>#REF!</v>
      </c>
      <c r="AA175" s="267" t="e">
        <f>VLOOKUP(B175,#REF!,71,0)</f>
        <v>#REF!</v>
      </c>
      <c r="AB175" s="267" t="e">
        <f>VLOOKUP(B175,#REF!,36,0)</f>
        <v>#REF!</v>
      </c>
      <c r="AC175" s="267" t="e">
        <f>VLOOKUP(B175,#REF!,50,0)</f>
        <v>#REF!</v>
      </c>
      <c r="AD175" s="271" t="e">
        <f>VLOOKUP(B175,#REF!,4,0)/1000</f>
        <v>#REF!</v>
      </c>
      <c r="AE175" s="271" t="e">
        <f>VLOOKUP(B175,#REF!,5,0)</f>
        <v>#REF!</v>
      </c>
      <c r="AF175" s="271" t="e">
        <f>VLOOKUP(B175,#REF!,51,0)</f>
        <v>#REF!</v>
      </c>
      <c r="AG175" s="400" t="e">
        <f>VLOOKUP(B175,#REF!,52,0)</f>
        <v>#REF!</v>
      </c>
      <c r="AH175" s="271"/>
      <c r="AI175" s="271"/>
      <c r="AJ175" s="271"/>
      <c r="AK175" s="268" t="e">
        <f>V175/#REF!*(W175+Z175/8*2+AA175/8*1.5+AB175*3)+J175/#REF!*(X175+Y175)+AC175+P175+AE175+AG175+AH175+AI175+AJ175</f>
        <v>#REF!</v>
      </c>
      <c r="AL175" s="267">
        <f t="shared" si="185"/>
        <v>0</v>
      </c>
      <c r="AM175" s="281">
        <v>0</v>
      </c>
      <c r="AN175" s="272" t="e">
        <f>VLOOKUP(B175,#REF!,75,0)</f>
        <v>#REF!</v>
      </c>
      <c r="AO175" s="272"/>
      <c r="AP175" s="273" t="e">
        <f t="shared" si="193"/>
        <v>#REF!</v>
      </c>
    </row>
    <row r="176" spans="1:42">
      <c r="A176" s="262"/>
      <c r="B176" s="271" t="s">
        <v>603</v>
      </c>
      <c r="C176" s="232" t="s">
        <v>614</v>
      </c>
      <c r="D176" s="324" t="str">
        <f>'THANG B.LUONG'!$B$53</f>
        <v>NV Giao nhận/ Phụ xe</v>
      </c>
      <c r="E176" s="493">
        <v>43157</v>
      </c>
      <c r="F176" s="265">
        <v>1</v>
      </c>
      <c r="G176" s="266">
        <f t="shared" si="189"/>
        <v>0</v>
      </c>
      <c r="H176" s="266">
        <f t="shared" si="190"/>
        <v>5</v>
      </c>
      <c r="I176" s="267">
        <f t="shared" si="191"/>
        <v>30</v>
      </c>
      <c r="J176" s="267">
        <f>VLOOKUP(D176,'THANG B.LUONG'!$B$5:$I$513,F176+1,0)</f>
        <v>0</v>
      </c>
      <c r="K176" s="267">
        <v>0</v>
      </c>
      <c r="L176" s="267">
        <v>0</v>
      </c>
      <c r="M176" s="267">
        <f t="shared" si="192"/>
        <v>0</v>
      </c>
      <c r="N176" s="267">
        <v>0</v>
      </c>
      <c r="O176" s="267">
        <v>0</v>
      </c>
      <c r="P176" s="267">
        <v>0</v>
      </c>
      <c r="Q176" s="267">
        <v>0</v>
      </c>
      <c r="R176" s="267">
        <v>0</v>
      </c>
      <c r="S176" s="267">
        <v>0</v>
      </c>
      <c r="T176" s="267">
        <v>0</v>
      </c>
      <c r="U176" s="267">
        <v>0</v>
      </c>
      <c r="V176" s="268">
        <f t="shared" si="187"/>
        <v>0</v>
      </c>
      <c r="W176" s="269" t="e">
        <f>VLOOKUP(B176,#REF!,35,0)</f>
        <v>#REF!</v>
      </c>
      <c r="X176" s="267" t="e">
        <f>VLOOKUP(B176,#REF!,37,0)</f>
        <v>#REF!</v>
      </c>
      <c r="Y176" s="270" t="e">
        <f>VLOOKUP(B176,#REF!,38,0)</f>
        <v>#REF!</v>
      </c>
      <c r="Z176" s="267" t="e">
        <f>VLOOKUP(B176,#REF!,72,0)</f>
        <v>#REF!</v>
      </c>
      <c r="AA176" s="267" t="e">
        <f>VLOOKUP(B176,#REF!,71,0)</f>
        <v>#REF!</v>
      </c>
      <c r="AB176" s="267" t="e">
        <f>VLOOKUP(B176,#REF!,36,0)</f>
        <v>#REF!</v>
      </c>
      <c r="AC176" s="267" t="e">
        <f>VLOOKUP(B176,#REF!,50,0)</f>
        <v>#REF!</v>
      </c>
      <c r="AD176" s="271" t="e">
        <f>VLOOKUP(B176,#REF!,4,0)/1000</f>
        <v>#REF!</v>
      </c>
      <c r="AE176" s="271" t="e">
        <f>VLOOKUP(B176,#REF!,5,0)</f>
        <v>#REF!</v>
      </c>
      <c r="AF176" s="271" t="e">
        <f>VLOOKUP(B176,#REF!,51,0)</f>
        <v>#REF!</v>
      </c>
      <c r="AG176" s="271" t="e">
        <f>VLOOKUP(B176,#REF!,52,0)</f>
        <v>#REF!</v>
      </c>
      <c r="AH176" s="271"/>
      <c r="AI176" s="271"/>
      <c r="AJ176" s="271"/>
      <c r="AK176" s="268" t="e">
        <f>V176/#REF!*(W176+Z176/8*2+AA176/8*1.5+AB176*3)+J176/#REF!*(X176+Y176)+AC176+P176+AE176+AG176+AH176+AI176+AJ176</f>
        <v>#REF!</v>
      </c>
      <c r="AL176" s="267">
        <f t="shared" si="185"/>
        <v>0</v>
      </c>
      <c r="AM176" s="281">
        <v>0</v>
      </c>
      <c r="AN176" s="272" t="e">
        <f>VLOOKUP(B176,#REF!,75,0)</f>
        <v>#REF!</v>
      </c>
      <c r="AO176" s="272"/>
      <c r="AP176" s="273" t="e">
        <f t="shared" si="193"/>
        <v>#REF!</v>
      </c>
    </row>
    <row r="177" spans="1:42">
      <c r="A177" s="262"/>
      <c r="B177" s="271" t="s">
        <v>613</v>
      </c>
      <c r="C177" s="232" t="s">
        <v>615</v>
      </c>
      <c r="D177" s="324" t="str">
        <f>'THANG B.LUONG'!$B$53</f>
        <v>NV Giao nhận/ Phụ xe</v>
      </c>
      <c r="E177" s="493">
        <v>43171</v>
      </c>
      <c r="F177" s="466">
        <v>1</v>
      </c>
      <c r="G177" s="280">
        <f>DATEDIF(E177,$J$3,"y")</f>
        <v>0</v>
      </c>
      <c r="H177" s="280">
        <f>DATEDIF(E177,$J$3,"ym")</f>
        <v>5</v>
      </c>
      <c r="I177" s="271">
        <f>DATEDIF(E177,$J$3,"md")</f>
        <v>13</v>
      </c>
      <c r="J177" s="267">
        <f>VLOOKUP(D177,'THANG B.LUONG'!$B$5:$I$513,F177+1,0)</f>
        <v>0</v>
      </c>
      <c r="K177" s="271">
        <v>0</v>
      </c>
      <c r="L177" s="271">
        <v>0</v>
      </c>
      <c r="M177" s="271">
        <f t="shared" si="192"/>
        <v>0</v>
      </c>
      <c r="N177" s="271">
        <v>0</v>
      </c>
      <c r="O177" s="271">
        <v>0</v>
      </c>
      <c r="P177" s="271">
        <v>0</v>
      </c>
      <c r="Q177" s="271">
        <v>0</v>
      </c>
      <c r="R177" s="271">
        <v>0</v>
      </c>
      <c r="S177" s="271">
        <v>0</v>
      </c>
      <c r="T177" s="271">
        <v>0</v>
      </c>
      <c r="U177" s="271">
        <v>0</v>
      </c>
      <c r="V177" s="323">
        <f>SUM(J177:U177)-P177</f>
        <v>0</v>
      </c>
      <c r="W177" s="269" t="e">
        <f>VLOOKUP(B177,#REF!,35,0)</f>
        <v>#REF!</v>
      </c>
      <c r="X177" s="267" t="e">
        <f>VLOOKUP(B177,#REF!,37,0)</f>
        <v>#REF!</v>
      </c>
      <c r="Y177" s="270" t="e">
        <f>VLOOKUP(B177,#REF!,38,0)</f>
        <v>#REF!</v>
      </c>
      <c r="Z177" s="267" t="e">
        <f>VLOOKUP(B177,#REF!,72,0)</f>
        <v>#REF!</v>
      </c>
      <c r="AA177" s="267" t="e">
        <f>VLOOKUP(B177,#REF!,71,0)</f>
        <v>#REF!</v>
      </c>
      <c r="AB177" s="267" t="e">
        <f>VLOOKUP(B177,#REF!,36,0)</f>
        <v>#REF!</v>
      </c>
      <c r="AC177" s="267" t="e">
        <f>VLOOKUP(B177,#REF!,50,0)</f>
        <v>#REF!</v>
      </c>
      <c r="AD177" s="271" t="e">
        <f>VLOOKUP(B177,#REF!,4,0)/1000</f>
        <v>#REF!</v>
      </c>
      <c r="AE177" s="271" t="e">
        <f>VLOOKUP(B177,#REF!,5,0)</f>
        <v>#REF!</v>
      </c>
      <c r="AF177" s="271" t="e">
        <f>VLOOKUP(B177,#REF!,51,0)</f>
        <v>#REF!</v>
      </c>
      <c r="AG177" s="271" t="e">
        <f>VLOOKUP(B177,#REF!,52,0)</f>
        <v>#REF!</v>
      </c>
      <c r="AH177" s="271"/>
      <c r="AI177" s="271"/>
      <c r="AJ177" s="271"/>
      <c r="AK177" s="268" t="e">
        <f>V177/#REF!*(W177+Z177/8*2+AA177/8*1.5+AB177*3)+J177/#REF!*(X177+Y177)+AC177+P177+AE177+AG177+AH177+AI177+AJ177</f>
        <v>#REF!</v>
      </c>
      <c r="AL177" s="271">
        <f>AM177*$AN$3</f>
        <v>0</v>
      </c>
      <c r="AM177" s="281">
        <v>0</v>
      </c>
      <c r="AN177" s="272" t="e">
        <f>VLOOKUP(B177,#REF!,75,0)</f>
        <v>#REF!</v>
      </c>
      <c r="AO177" s="272"/>
      <c r="AP177" s="487" t="e">
        <f>ROUND(AK177-AL177-AN177+AO177,-1)</f>
        <v>#REF!</v>
      </c>
    </row>
    <row r="178" spans="1:42">
      <c r="A178" s="262"/>
      <c r="B178" s="271" t="s">
        <v>744</v>
      </c>
      <c r="C178" s="232" t="s">
        <v>745</v>
      </c>
      <c r="D178" s="324" t="str">
        <f>'THANG B.LUONG'!$B$53</f>
        <v>NV Giao nhận/ Phụ xe</v>
      </c>
      <c r="E178" s="493">
        <v>43222</v>
      </c>
      <c r="F178" s="466">
        <v>1</v>
      </c>
      <c r="G178" s="280">
        <f>DATEDIF(E178,$J$3,"y")</f>
        <v>0</v>
      </c>
      <c r="H178" s="280">
        <f>DATEDIF(E178,$J$3,"ym")</f>
        <v>3</v>
      </c>
      <c r="I178" s="271">
        <f>DATEDIF(E178,$J$3,"md")</f>
        <v>23</v>
      </c>
      <c r="J178" s="267">
        <f>VLOOKUP(D178,'THANG B.LUONG'!$B$5:$I$513,F178+1,0)</f>
        <v>0</v>
      </c>
      <c r="K178" s="267">
        <v>0</v>
      </c>
      <c r="L178" s="267">
        <v>0</v>
      </c>
      <c r="M178" s="267">
        <f t="shared" si="192"/>
        <v>0</v>
      </c>
      <c r="N178" s="267">
        <v>0</v>
      </c>
      <c r="O178" s="267">
        <v>0</v>
      </c>
      <c r="P178" s="267">
        <v>0</v>
      </c>
      <c r="Q178" s="267">
        <v>0</v>
      </c>
      <c r="R178" s="267">
        <v>0</v>
      </c>
      <c r="S178" s="267">
        <v>0</v>
      </c>
      <c r="T178" s="267">
        <v>0</v>
      </c>
      <c r="U178" s="267">
        <v>0</v>
      </c>
      <c r="V178" s="323">
        <f>SUM(J178:U178)-P178</f>
        <v>0</v>
      </c>
      <c r="W178" s="269" t="e">
        <f>VLOOKUP(B178,#REF!,35,0)</f>
        <v>#REF!</v>
      </c>
      <c r="X178" s="267" t="e">
        <f>VLOOKUP(B178,#REF!,37,0)</f>
        <v>#REF!</v>
      </c>
      <c r="Y178" s="270" t="e">
        <f>VLOOKUP(B178,#REF!,38,0)</f>
        <v>#REF!</v>
      </c>
      <c r="Z178" s="267" t="e">
        <f>VLOOKUP(B178,#REF!,72,0)</f>
        <v>#REF!</v>
      </c>
      <c r="AA178" s="267" t="e">
        <f>VLOOKUP(B178,#REF!,71,0)</f>
        <v>#REF!</v>
      </c>
      <c r="AB178" s="267" t="e">
        <f>VLOOKUP(B178,#REF!,36,0)</f>
        <v>#REF!</v>
      </c>
      <c r="AC178" s="267" t="e">
        <f>VLOOKUP(B178,#REF!,50,0)</f>
        <v>#REF!</v>
      </c>
      <c r="AD178" s="271" t="e">
        <f>VLOOKUP(B178,#REF!,4,0)/1000</f>
        <v>#REF!</v>
      </c>
      <c r="AE178" s="271" t="e">
        <f>VLOOKUP(B178,#REF!,5,0)</f>
        <v>#REF!</v>
      </c>
      <c r="AF178" s="271" t="e">
        <f>VLOOKUP(B178,#REF!,51,0)</f>
        <v>#REF!</v>
      </c>
      <c r="AG178" s="271" t="e">
        <f>VLOOKUP(B178,#REF!,52,0)</f>
        <v>#REF!</v>
      </c>
      <c r="AH178" s="271"/>
      <c r="AI178" s="271"/>
      <c r="AJ178" s="271"/>
      <c r="AK178" s="268" t="e">
        <f>V178/#REF!*(W178+Z178/8*2+AA178/8*1.5+AB178*3)+J178/#REF!*(X178+Y178)+AC178+P178+AE178+AG178+AH178+AI178+AJ178</f>
        <v>#REF!</v>
      </c>
      <c r="AL178" s="267">
        <f>AM178*$AN$3</f>
        <v>0</v>
      </c>
      <c r="AM178" s="281">
        <v>0</v>
      </c>
      <c r="AN178" s="272" t="e">
        <f>VLOOKUP(B178,#REF!,75,0)</f>
        <v>#REF!</v>
      </c>
      <c r="AO178" s="272"/>
      <c r="AP178" s="273" t="e">
        <f>ROUND(AK178-AL178-AN178+AO178,-1)</f>
        <v>#REF!</v>
      </c>
    </row>
    <row r="179" spans="1:42">
      <c r="A179" s="262"/>
      <c r="B179" s="271" t="s">
        <v>786</v>
      </c>
      <c r="C179" s="232" t="s">
        <v>788</v>
      </c>
      <c r="D179" s="324" t="str">
        <f>'THANG B.LUONG'!$B$53</f>
        <v>NV Giao nhận/ Phụ xe</v>
      </c>
      <c r="E179" s="493">
        <v>43294</v>
      </c>
      <c r="F179" s="466">
        <v>1</v>
      </c>
      <c r="G179" s="280">
        <f>DATEDIF(E179,$J$3,"y")</f>
        <v>0</v>
      </c>
      <c r="H179" s="280">
        <f>DATEDIF(E179,$J$3,"ym")</f>
        <v>1</v>
      </c>
      <c r="I179" s="271">
        <f>DATEDIF(E179,$J$3,"md")</f>
        <v>12</v>
      </c>
      <c r="J179" s="267">
        <f>VLOOKUP(D179,'THANG B.LUONG'!$B$5:$I$513,F179+1,0)</f>
        <v>0</v>
      </c>
      <c r="K179" s="267">
        <v>0</v>
      </c>
      <c r="L179" s="267">
        <v>0</v>
      </c>
      <c r="M179" s="267">
        <f t="shared" ref="M179" si="194">IF(G179&gt;=3,J179*(0.03+(G179-3)*0.01),0)</f>
        <v>0</v>
      </c>
      <c r="N179" s="267">
        <v>0</v>
      </c>
      <c r="O179" s="267">
        <v>0</v>
      </c>
      <c r="P179" s="267">
        <v>0</v>
      </c>
      <c r="Q179" s="267">
        <v>0</v>
      </c>
      <c r="R179" s="267">
        <v>0</v>
      </c>
      <c r="S179" s="267">
        <v>0</v>
      </c>
      <c r="T179" s="267">
        <v>0</v>
      </c>
      <c r="U179" s="267">
        <v>0</v>
      </c>
      <c r="V179" s="323">
        <f>SUM(J179:U179)-P179</f>
        <v>0</v>
      </c>
      <c r="W179" s="269" t="e">
        <f>VLOOKUP(B179,#REF!,35,0)</f>
        <v>#REF!</v>
      </c>
      <c r="X179" s="267" t="e">
        <f>VLOOKUP(B179,#REF!,37,0)</f>
        <v>#REF!</v>
      </c>
      <c r="Y179" s="270" t="e">
        <f>VLOOKUP(B179,#REF!,38,0)</f>
        <v>#REF!</v>
      </c>
      <c r="Z179" s="267" t="e">
        <f>VLOOKUP(B179,#REF!,72,0)</f>
        <v>#REF!</v>
      </c>
      <c r="AA179" s="267" t="e">
        <f>VLOOKUP(B179,#REF!,71,0)</f>
        <v>#REF!</v>
      </c>
      <c r="AB179" s="267" t="e">
        <f>VLOOKUP(B179,#REF!,36,0)</f>
        <v>#REF!</v>
      </c>
      <c r="AC179" s="267" t="e">
        <f>VLOOKUP(B179,#REF!,50,0)</f>
        <v>#REF!</v>
      </c>
      <c r="AD179" s="271" t="e">
        <f>VLOOKUP(B179,#REF!,4,0)/1000</f>
        <v>#REF!</v>
      </c>
      <c r="AE179" s="271" t="e">
        <f>VLOOKUP(B179,#REF!,5,0)</f>
        <v>#REF!</v>
      </c>
      <c r="AF179" s="271" t="e">
        <f>VLOOKUP(B179,#REF!,51,0)</f>
        <v>#REF!</v>
      </c>
      <c r="AG179" s="271" t="e">
        <f>VLOOKUP(B179,#REF!,52,0)</f>
        <v>#REF!</v>
      </c>
      <c r="AH179" s="271"/>
      <c r="AI179" s="271"/>
      <c r="AJ179" s="271"/>
      <c r="AK179" s="268" t="e">
        <f>V179/#REF!*(W179+Z179/8*2+AA179/8*1.5+AB179*3)+J179/#REF!*(X179+Y179)+AC179+P179+AE179+AG179+AH179+AI179+AJ179</f>
        <v>#REF!</v>
      </c>
      <c r="AL179" s="267">
        <f>AM179*$AN$3</f>
        <v>0</v>
      </c>
      <c r="AM179" s="281">
        <v>0</v>
      </c>
      <c r="AN179" s="272" t="e">
        <f>VLOOKUP(B179,#REF!,75,0)</f>
        <v>#REF!</v>
      </c>
      <c r="AO179" s="272"/>
      <c r="AP179" s="273" t="e">
        <f>ROUND(AK179-AL179-AN179+AO179,-1)</f>
        <v>#REF!</v>
      </c>
    </row>
    <row r="180" spans="1:42">
      <c r="A180" s="262"/>
      <c r="B180" s="271" t="s">
        <v>787</v>
      </c>
      <c r="C180" s="232" t="s">
        <v>789</v>
      </c>
      <c r="D180" s="324" t="str">
        <f>'THANG B.LUONG'!$B$53</f>
        <v>NV Giao nhận/ Phụ xe</v>
      </c>
      <c r="E180" s="493">
        <v>43277</v>
      </c>
      <c r="F180" s="466">
        <v>1</v>
      </c>
      <c r="G180" s="280">
        <f>DATEDIF(E180,$J$3,"y")</f>
        <v>0</v>
      </c>
      <c r="H180" s="280">
        <f>DATEDIF(E180,$J$3,"ym")</f>
        <v>1</v>
      </c>
      <c r="I180" s="271">
        <f>DATEDIF(E180,$J$3,"md")</f>
        <v>30</v>
      </c>
      <c r="J180" s="267">
        <f>VLOOKUP(D180,'THANG B.LUONG'!$B$5:$I$513,F180+1,0)</f>
        <v>0</v>
      </c>
      <c r="K180" s="267">
        <v>0</v>
      </c>
      <c r="L180" s="267">
        <v>0</v>
      </c>
      <c r="M180" s="267">
        <f t="shared" ref="M180" si="195">IF(G180&gt;=3,J180*(0.03+(G180-3)*0.01),0)</f>
        <v>0</v>
      </c>
      <c r="N180" s="267">
        <v>0</v>
      </c>
      <c r="O180" s="267">
        <v>0</v>
      </c>
      <c r="P180" s="267">
        <v>0</v>
      </c>
      <c r="Q180" s="267">
        <v>0</v>
      </c>
      <c r="R180" s="267">
        <v>0</v>
      </c>
      <c r="S180" s="267">
        <v>0</v>
      </c>
      <c r="T180" s="267">
        <v>0</v>
      </c>
      <c r="U180" s="267">
        <v>0</v>
      </c>
      <c r="V180" s="323">
        <f>SUM(J180:U180)-P180</f>
        <v>0</v>
      </c>
      <c r="W180" s="269" t="e">
        <f>VLOOKUP(B180,#REF!,35,0)</f>
        <v>#REF!</v>
      </c>
      <c r="X180" s="267" t="e">
        <f>VLOOKUP(B180,#REF!,37,0)</f>
        <v>#REF!</v>
      </c>
      <c r="Y180" s="270" t="e">
        <f>VLOOKUP(B180,#REF!,38,0)</f>
        <v>#REF!</v>
      </c>
      <c r="Z180" s="267" t="e">
        <f>VLOOKUP(B180,#REF!,72,0)</f>
        <v>#REF!</v>
      </c>
      <c r="AA180" s="267" t="e">
        <f>VLOOKUP(B180,#REF!,71,0)</f>
        <v>#REF!</v>
      </c>
      <c r="AB180" s="267" t="e">
        <f>VLOOKUP(B180,#REF!,36,0)</f>
        <v>#REF!</v>
      </c>
      <c r="AC180" s="267" t="e">
        <f>VLOOKUP(B180,#REF!,50,0)</f>
        <v>#REF!</v>
      </c>
      <c r="AD180" s="271" t="e">
        <f>VLOOKUP(B180,#REF!,4,0)/1000</f>
        <v>#REF!</v>
      </c>
      <c r="AE180" s="271" t="e">
        <f>VLOOKUP(B180,#REF!,5,0)</f>
        <v>#REF!</v>
      </c>
      <c r="AF180" s="271" t="e">
        <f>VLOOKUP(B180,#REF!,51,0)</f>
        <v>#REF!</v>
      </c>
      <c r="AG180" s="271" t="e">
        <f>VLOOKUP(B180,#REF!,52,0)</f>
        <v>#REF!</v>
      </c>
      <c r="AH180" s="271"/>
      <c r="AI180" s="271"/>
      <c r="AJ180" s="271"/>
      <c r="AK180" s="268" t="e">
        <f>V180/#REF!*(W180+Z180/8*2+AA180/8*1.5+AB180*3)+J180/#REF!*(X180+Y180)+AC180+P180+AE180+AG180+AH180+AI180+AJ180</f>
        <v>#REF!</v>
      </c>
      <c r="AL180" s="267">
        <f>AM180*$AN$3</f>
        <v>0</v>
      </c>
      <c r="AM180" s="281">
        <v>0</v>
      </c>
      <c r="AN180" s="272" t="e">
        <f>VLOOKUP(B180,#REF!,75,0)</f>
        <v>#REF!</v>
      </c>
      <c r="AO180" s="272"/>
      <c r="AP180" s="273" t="e">
        <f>ROUND(AK180-AL180-AN180+AO180,-1)</f>
        <v>#REF!</v>
      </c>
    </row>
    <row r="181" spans="1:42" s="530" customFormat="1">
      <c r="A181" s="509"/>
      <c r="B181" s="519" t="s">
        <v>800</v>
      </c>
      <c r="C181" s="525" t="s">
        <v>801</v>
      </c>
      <c r="D181" s="538" t="str">
        <f>'THANG B.LUONG'!$B$53</f>
        <v>NV Giao nhận/ Phụ xe</v>
      </c>
      <c r="E181" s="512">
        <v>43314</v>
      </c>
      <c r="F181" s="513">
        <v>1</v>
      </c>
      <c r="G181" s="510">
        <f>DATEDIF(E181,$J$3,"y")</f>
        <v>0</v>
      </c>
      <c r="H181" s="510">
        <f>DATEDIF(E181,$J$3,"ym")</f>
        <v>0</v>
      </c>
      <c r="I181" s="519">
        <f>DATEDIF(E181,$J$3,"md")</f>
        <v>23</v>
      </c>
      <c r="J181" s="515">
        <f>200*26</f>
        <v>5200</v>
      </c>
      <c r="K181" s="515">
        <v>0</v>
      </c>
      <c r="L181" s="515">
        <v>0</v>
      </c>
      <c r="M181" s="515">
        <f t="shared" ref="M181" si="196">IF(G181&gt;=3,J181*(0.03+(G181-3)*0.01),0)</f>
        <v>0</v>
      </c>
      <c r="N181" s="515">
        <v>0</v>
      </c>
      <c r="O181" s="515">
        <v>0</v>
      </c>
      <c r="P181" s="515">
        <v>0</v>
      </c>
      <c r="Q181" s="515">
        <v>0</v>
      </c>
      <c r="R181" s="515">
        <v>0</v>
      </c>
      <c r="S181" s="515">
        <v>0</v>
      </c>
      <c r="T181" s="515">
        <v>0</v>
      </c>
      <c r="U181" s="515">
        <v>0</v>
      </c>
      <c r="V181" s="323">
        <f>SUM(J181:U181)-P181</f>
        <v>5200</v>
      </c>
      <c r="W181" s="517" t="e">
        <f>VLOOKUP(B181,#REF!,35,0)</f>
        <v>#REF!</v>
      </c>
      <c r="X181" s="515" t="e">
        <f>VLOOKUP(B181,#REF!,37,0)</f>
        <v>#REF!</v>
      </c>
      <c r="Y181" s="518" t="e">
        <f>VLOOKUP(B181,#REF!,38,0)</f>
        <v>#REF!</v>
      </c>
      <c r="Z181" s="515" t="e">
        <f>VLOOKUP(B181,#REF!,72,0)</f>
        <v>#REF!</v>
      </c>
      <c r="AA181" s="515" t="e">
        <f>VLOOKUP(B181,#REF!,71,0)</f>
        <v>#REF!</v>
      </c>
      <c r="AB181" s="515" t="e">
        <f>VLOOKUP(B181,#REF!,36,0)</f>
        <v>#REF!</v>
      </c>
      <c r="AC181" s="433">
        <v>0</v>
      </c>
      <c r="AD181" s="434">
        <v>0</v>
      </c>
      <c r="AE181" s="434">
        <v>0</v>
      </c>
      <c r="AF181" s="519" t="e">
        <f>VLOOKUP(B181,#REF!,51,0)</f>
        <v>#REF!</v>
      </c>
      <c r="AG181" s="519" t="e">
        <f>VLOOKUP(B181,#REF!,52,0)</f>
        <v>#REF!</v>
      </c>
      <c r="AH181" s="519"/>
      <c r="AI181" s="519"/>
      <c r="AJ181" s="519"/>
      <c r="AK181" s="389" t="e">
        <f>200*W181</f>
        <v>#REF!</v>
      </c>
      <c r="AL181" s="515">
        <f>AM181*$AN$3</f>
        <v>0</v>
      </c>
      <c r="AM181" s="539">
        <v>0</v>
      </c>
      <c r="AN181" s="520" t="e">
        <f>VLOOKUP(B181,#REF!,75,0)</f>
        <v>#REF!</v>
      </c>
      <c r="AO181" s="520"/>
      <c r="AP181" s="521" t="e">
        <f>ROUND(AK181-AL181-AN181+AO181,-1)</f>
        <v>#REF!</v>
      </c>
    </row>
    <row r="182" spans="1:42">
      <c r="A182" s="317"/>
      <c r="B182" s="481"/>
      <c r="C182" s="236" t="s">
        <v>364</v>
      </c>
      <c r="D182" s="235"/>
      <c r="E182" s="494"/>
      <c r="F182" s="235"/>
      <c r="G182" s="235"/>
      <c r="H182" s="235"/>
      <c r="I182" s="235"/>
      <c r="J182" s="235"/>
      <c r="K182" s="235"/>
      <c r="L182" s="235"/>
      <c r="M182" s="235"/>
      <c r="N182" s="235"/>
      <c r="O182" s="235"/>
      <c r="P182" s="235"/>
      <c r="Q182" s="235"/>
      <c r="R182" s="235"/>
      <c r="S182" s="235"/>
      <c r="T182" s="235"/>
      <c r="U182" s="235"/>
      <c r="V182" s="235"/>
      <c r="W182" s="235"/>
      <c r="X182" s="235"/>
      <c r="Y182" s="235"/>
      <c r="Z182" s="235"/>
      <c r="AA182" s="235"/>
      <c r="AB182" s="235"/>
      <c r="AC182" s="235"/>
      <c r="AD182" s="235"/>
      <c r="AE182" s="235"/>
      <c r="AF182" s="260"/>
      <c r="AG182" s="260"/>
      <c r="AH182" s="235"/>
      <c r="AI182" s="235"/>
      <c r="AJ182" s="235"/>
      <c r="AK182" s="261" t="e">
        <f>SUM(AK183:AK192)</f>
        <v>#REF!</v>
      </c>
      <c r="AL182" s="261">
        <f t="shared" ref="AL182:AP182" si="197">SUM(AL183:AL192)</f>
        <v>2938.4250000000002</v>
      </c>
      <c r="AM182" s="261">
        <f t="shared" si="197"/>
        <v>27985</v>
      </c>
      <c r="AN182" s="261" t="e">
        <f t="shared" si="197"/>
        <v>#REF!</v>
      </c>
      <c r="AO182" s="261">
        <f t="shared" si="197"/>
        <v>0</v>
      </c>
      <c r="AP182" s="261" t="e">
        <f t="shared" si="197"/>
        <v>#REF!</v>
      </c>
    </row>
    <row r="183" spans="1:42">
      <c r="A183" s="262"/>
      <c r="B183" s="271" t="s">
        <v>365</v>
      </c>
      <c r="C183" s="232" t="s">
        <v>440</v>
      </c>
      <c r="D183" s="233" t="str">
        <f>'[1]THANG B.LUONG'!$B$68</f>
        <v>Trưởng đội giao nhận</v>
      </c>
      <c r="E183" s="493">
        <v>41518</v>
      </c>
      <c r="F183" s="265">
        <v>1</v>
      </c>
      <c r="G183" s="266">
        <f t="shared" ref="G183:G190" si="198">DATEDIF(E183,$J$3,"y")</f>
        <v>4</v>
      </c>
      <c r="H183" s="266">
        <f t="shared" ref="H183:H190" si="199">DATEDIF(E183,$J$3,"ym")</f>
        <v>11</v>
      </c>
      <c r="I183" s="267">
        <f t="shared" ref="I183:I190" si="200">DATEDIF(E183,$J$3,"md")</f>
        <v>24</v>
      </c>
      <c r="J183" s="267">
        <f>VLOOKUP(D183,'THANG B.LUONG'!$B$5:$I$513,F183+1,0)</f>
        <v>0</v>
      </c>
      <c r="K183" s="267">
        <v>0</v>
      </c>
      <c r="L183" s="267">
        <v>500</v>
      </c>
      <c r="M183" s="267">
        <f t="shared" ref="M183:M190" si="201">IF(G183&gt;=3,J183*(0.03+(G183-3)*0.01),0)</f>
        <v>0</v>
      </c>
      <c r="N183" s="267">
        <v>0</v>
      </c>
      <c r="O183" s="267">
        <v>200</v>
      </c>
      <c r="P183" s="267">
        <v>300</v>
      </c>
      <c r="Q183" s="267">
        <v>0</v>
      </c>
      <c r="R183" s="267">
        <v>0</v>
      </c>
      <c r="S183" s="267">
        <v>0</v>
      </c>
      <c r="T183" s="267">
        <v>3700</v>
      </c>
      <c r="U183" s="267">
        <v>0</v>
      </c>
      <c r="V183" s="268">
        <f t="shared" si="187"/>
        <v>4400</v>
      </c>
      <c r="W183" s="269" t="e">
        <f>VLOOKUP(B183,#REF!,35,0)</f>
        <v>#REF!</v>
      </c>
      <c r="X183" s="267" t="e">
        <f>VLOOKUP(B183,#REF!,37,0)</f>
        <v>#REF!</v>
      </c>
      <c r="Y183" s="270" t="e">
        <f>VLOOKUP(B183,#REF!,38,0)</f>
        <v>#REF!</v>
      </c>
      <c r="Z183" s="267" t="e">
        <f>VLOOKUP(B183,#REF!,72,0)</f>
        <v>#REF!</v>
      </c>
      <c r="AA183" s="267" t="e">
        <f>VLOOKUP(B183,#REF!,71,0)</f>
        <v>#REF!</v>
      </c>
      <c r="AB183" s="267" t="e">
        <f>VLOOKUP(B183,#REF!,36,0)</f>
        <v>#REF!</v>
      </c>
      <c r="AC183" s="267">
        <v>0</v>
      </c>
      <c r="AD183" s="271">
        <v>0</v>
      </c>
      <c r="AE183" s="271">
        <v>0</v>
      </c>
      <c r="AF183" s="271">
        <v>0</v>
      </c>
      <c r="AG183" s="271">
        <v>0</v>
      </c>
      <c r="AH183" s="271"/>
      <c r="AI183" s="271"/>
      <c r="AJ183" s="271"/>
      <c r="AK183" s="268" t="e">
        <f>V183/#REF!*(W183+Z183/8*2+AA183/8*1.5+AB183*3)+J183/#REF!*(X183+Y183)+AC183+P183+AE183+AG183+AH183+AI183+AJ183</f>
        <v>#REF!</v>
      </c>
      <c r="AL183" s="267">
        <f t="shared" si="185"/>
        <v>535.5</v>
      </c>
      <c r="AM183" s="414">
        <v>5100</v>
      </c>
      <c r="AN183" s="272" t="e">
        <f>VLOOKUP(B183,#REF!,75,0)</f>
        <v>#REF!</v>
      </c>
      <c r="AO183" s="272"/>
      <c r="AP183" s="442" t="e">
        <f>ROUND(AK183-AL183-AN183+AO183,-1)</f>
        <v>#REF!</v>
      </c>
    </row>
    <row r="184" spans="1:42">
      <c r="A184" s="262"/>
      <c r="B184" s="271" t="s">
        <v>366</v>
      </c>
      <c r="C184" s="232" t="s">
        <v>441</v>
      </c>
      <c r="D184" s="324" t="str">
        <f>'THANG B.LUONG'!$B$53</f>
        <v>NV Giao nhận/ Phụ xe</v>
      </c>
      <c r="E184" s="493">
        <v>41842</v>
      </c>
      <c r="F184" s="265">
        <v>2</v>
      </c>
      <c r="G184" s="266">
        <f t="shared" si="198"/>
        <v>4</v>
      </c>
      <c r="H184" s="266">
        <f t="shared" si="199"/>
        <v>1</v>
      </c>
      <c r="I184" s="267">
        <f t="shared" si="200"/>
        <v>3</v>
      </c>
      <c r="J184" s="267">
        <f>VLOOKUP(D184,'THANG B.LUONG'!$B$5:$I$513,F184+1,0)</f>
        <v>0</v>
      </c>
      <c r="K184" s="267">
        <v>0</v>
      </c>
      <c r="L184" s="267">
        <v>0</v>
      </c>
      <c r="M184" s="267">
        <f t="shared" si="201"/>
        <v>0</v>
      </c>
      <c r="N184" s="267">
        <v>0</v>
      </c>
      <c r="O184" s="267">
        <v>200</v>
      </c>
      <c r="P184" s="267">
        <v>100</v>
      </c>
      <c r="Q184" s="267">
        <v>0</v>
      </c>
      <c r="R184" s="267">
        <v>0</v>
      </c>
      <c r="S184" s="267">
        <v>0</v>
      </c>
      <c r="T184" s="267">
        <v>0</v>
      </c>
      <c r="U184" s="267">
        <v>0</v>
      </c>
      <c r="V184" s="268">
        <f t="shared" si="187"/>
        <v>200</v>
      </c>
      <c r="W184" s="269" t="e">
        <f>VLOOKUP(B184,#REF!,35,0)</f>
        <v>#REF!</v>
      </c>
      <c r="X184" s="267" t="e">
        <f>VLOOKUP(B184,#REF!,37,0)</f>
        <v>#REF!</v>
      </c>
      <c r="Y184" s="270" t="e">
        <f>VLOOKUP(B184,#REF!,38,0)</f>
        <v>#REF!</v>
      </c>
      <c r="Z184" s="267" t="e">
        <f>VLOOKUP(B184,#REF!,72,0)</f>
        <v>#REF!</v>
      </c>
      <c r="AA184" s="267" t="e">
        <f>VLOOKUP(B184,#REF!,71,0)</f>
        <v>#REF!</v>
      </c>
      <c r="AB184" s="267" t="e">
        <f>VLOOKUP(B184,#REF!,36,0)</f>
        <v>#REF!</v>
      </c>
      <c r="AC184" s="267" t="e">
        <f>VLOOKUP(B184,#REF!,50,0)</f>
        <v>#REF!</v>
      </c>
      <c r="AD184" s="271" t="e">
        <f>VLOOKUP(B184,#REF!,4,0)/1000</f>
        <v>#REF!</v>
      </c>
      <c r="AE184" s="271" t="e">
        <f>VLOOKUP(B184,#REF!,5,0)</f>
        <v>#REF!</v>
      </c>
      <c r="AF184" s="271" t="e">
        <f>VLOOKUP(B184,#REF!,51,0)</f>
        <v>#REF!</v>
      </c>
      <c r="AG184" s="271" t="e">
        <f>VLOOKUP(B184,#REF!,52,0)</f>
        <v>#REF!</v>
      </c>
      <c r="AH184" s="271"/>
      <c r="AI184" s="271">
        <v>1000</v>
      </c>
      <c r="AJ184" s="271"/>
      <c r="AK184" s="268" t="e">
        <f>V184/#REF!*(W184+Z184/8*2+AA184/8*1.5+AB184*3)+J184/#REF!*(X184+Y184)+AC184+P184+AE184+AG184+AH184+AI184+AJ184</f>
        <v>#REF!</v>
      </c>
      <c r="AL184" s="267">
        <f t="shared" si="185"/>
        <v>480.58499999999998</v>
      </c>
      <c r="AM184" s="414">
        <v>4577</v>
      </c>
      <c r="AN184" s="272" t="e">
        <f>VLOOKUP(B184,#REF!,75,0)</f>
        <v>#REF!</v>
      </c>
      <c r="AO184" s="272"/>
      <c r="AP184" s="442" t="e">
        <f t="shared" ref="AP184:AP190" si="202">ROUND(AK184-AL184-AN184+AO184,-1)</f>
        <v>#REF!</v>
      </c>
    </row>
    <row r="185" spans="1:42">
      <c r="A185" s="262"/>
      <c r="B185" s="271" t="s">
        <v>368</v>
      </c>
      <c r="C185" s="232" t="s">
        <v>442</v>
      </c>
      <c r="D185" s="324" t="str">
        <f>'THANG B.LUONG'!$B$53</f>
        <v>NV Giao nhận/ Phụ xe</v>
      </c>
      <c r="E185" s="493">
        <v>42492</v>
      </c>
      <c r="F185" s="265">
        <v>2</v>
      </c>
      <c r="G185" s="266">
        <f t="shared" si="198"/>
        <v>2</v>
      </c>
      <c r="H185" s="266">
        <f t="shared" si="199"/>
        <v>3</v>
      </c>
      <c r="I185" s="267">
        <f t="shared" si="200"/>
        <v>23</v>
      </c>
      <c r="J185" s="267">
        <f>VLOOKUP(D185,'THANG B.LUONG'!$B$5:$I$513,F185+1,0)</f>
        <v>0</v>
      </c>
      <c r="K185" s="267">
        <v>0</v>
      </c>
      <c r="L185" s="267">
        <v>0</v>
      </c>
      <c r="M185" s="267">
        <f t="shared" si="201"/>
        <v>0</v>
      </c>
      <c r="N185" s="267">
        <v>0</v>
      </c>
      <c r="O185" s="267">
        <v>200</v>
      </c>
      <c r="P185" s="267">
        <v>100</v>
      </c>
      <c r="Q185" s="267">
        <v>0</v>
      </c>
      <c r="R185" s="267">
        <v>0</v>
      </c>
      <c r="S185" s="267">
        <v>0</v>
      </c>
      <c r="T185" s="267">
        <v>0</v>
      </c>
      <c r="U185" s="267">
        <v>0</v>
      </c>
      <c r="V185" s="268">
        <f t="shared" si="187"/>
        <v>200</v>
      </c>
      <c r="W185" s="269" t="e">
        <f>VLOOKUP(B185,#REF!,35,0)</f>
        <v>#REF!</v>
      </c>
      <c r="X185" s="267" t="e">
        <f>VLOOKUP(B185,#REF!,37,0)</f>
        <v>#REF!</v>
      </c>
      <c r="Y185" s="270" t="e">
        <f>VLOOKUP(B185,#REF!,38,0)</f>
        <v>#REF!</v>
      </c>
      <c r="Z185" s="267" t="e">
        <f>VLOOKUP(B185,#REF!,72,0)</f>
        <v>#REF!</v>
      </c>
      <c r="AA185" s="267" t="e">
        <f>VLOOKUP(B185,#REF!,71,0)</f>
        <v>#REF!</v>
      </c>
      <c r="AB185" s="267" t="e">
        <f>VLOOKUP(B185,#REF!,36,0)</f>
        <v>#REF!</v>
      </c>
      <c r="AC185" s="267" t="e">
        <f>VLOOKUP(B185,#REF!,50,0)</f>
        <v>#REF!</v>
      </c>
      <c r="AD185" s="271" t="e">
        <f>VLOOKUP(B185,#REF!,4,0)/1000</f>
        <v>#REF!</v>
      </c>
      <c r="AE185" s="271" t="e">
        <f>VLOOKUP(B185,#REF!,5,0)</f>
        <v>#REF!</v>
      </c>
      <c r="AF185" s="271" t="e">
        <f>VLOOKUP(B185,#REF!,51,0)</f>
        <v>#REF!</v>
      </c>
      <c r="AG185" s="271" t="e">
        <f>VLOOKUP(B185,#REF!,52,0)</f>
        <v>#REF!</v>
      </c>
      <c r="AH185" s="271"/>
      <c r="AI185" s="271"/>
      <c r="AJ185" s="271"/>
      <c r="AK185" s="268" t="e">
        <f>V185/#REF!*(W185+Z185/8*2+AA185/8*1.5+AB185*3)+J185/#REF!*(X185+Y185)+AC185+P185+AE185+AG185+AH185+AI185+AJ185</f>
        <v>#REF!</v>
      </c>
      <c r="AL185" s="267">
        <f t="shared" si="185"/>
        <v>480.58499999999998</v>
      </c>
      <c r="AM185" s="414">
        <v>4577</v>
      </c>
      <c r="AN185" s="272" t="e">
        <f>VLOOKUP(B185,#REF!,75,0)</f>
        <v>#REF!</v>
      </c>
      <c r="AO185" s="272"/>
      <c r="AP185" s="442" t="e">
        <f t="shared" si="202"/>
        <v>#REF!</v>
      </c>
    </row>
    <row r="186" spans="1:42">
      <c r="A186" s="262"/>
      <c r="B186" s="271" t="s">
        <v>369</v>
      </c>
      <c r="C186" s="232" t="s">
        <v>443</v>
      </c>
      <c r="D186" s="324" t="str">
        <f>'THANG B.LUONG'!$B$53</f>
        <v>NV Giao nhận/ Phụ xe</v>
      </c>
      <c r="E186" s="493">
        <v>42808</v>
      </c>
      <c r="F186" s="265">
        <v>2</v>
      </c>
      <c r="G186" s="266">
        <f t="shared" si="198"/>
        <v>1</v>
      </c>
      <c r="H186" s="266">
        <f>DATEDIF(E186,$J$3,"ym")</f>
        <v>5</v>
      </c>
      <c r="I186" s="267">
        <f t="shared" si="200"/>
        <v>11</v>
      </c>
      <c r="J186" s="267">
        <f>VLOOKUP(D186,'THANG B.LUONG'!$B$5:$I$513,F186+1,0)</f>
        <v>0</v>
      </c>
      <c r="K186" s="267">
        <v>0</v>
      </c>
      <c r="L186" s="267">
        <v>0</v>
      </c>
      <c r="M186" s="267">
        <f t="shared" si="201"/>
        <v>0</v>
      </c>
      <c r="N186" s="267">
        <v>0</v>
      </c>
      <c r="O186" s="267">
        <v>200</v>
      </c>
      <c r="P186" s="267">
        <v>100</v>
      </c>
      <c r="Q186" s="267">
        <v>0</v>
      </c>
      <c r="R186" s="267">
        <v>0</v>
      </c>
      <c r="S186" s="267">
        <v>0</v>
      </c>
      <c r="T186" s="267">
        <v>0</v>
      </c>
      <c r="U186" s="267">
        <v>0</v>
      </c>
      <c r="V186" s="268">
        <f t="shared" si="187"/>
        <v>200</v>
      </c>
      <c r="W186" s="269" t="e">
        <f>VLOOKUP(B186,#REF!,35,0)</f>
        <v>#REF!</v>
      </c>
      <c r="X186" s="267" t="e">
        <f>VLOOKUP(B186,#REF!,37,0)</f>
        <v>#REF!</v>
      </c>
      <c r="Y186" s="270" t="e">
        <f>VLOOKUP(B186,#REF!,38,0)</f>
        <v>#REF!</v>
      </c>
      <c r="Z186" s="267" t="e">
        <f>VLOOKUP(B186,#REF!,72,0)</f>
        <v>#REF!</v>
      </c>
      <c r="AA186" s="267" t="e">
        <f>VLOOKUP(B186,#REF!,71,0)</f>
        <v>#REF!</v>
      </c>
      <c r="AB186" s="267" t="e">
        <f>VLOOKUP(B186,#REF!,36,0)</f>
        <v>#REF!</v>
      </c>
      <c r="AC186" s="267" t="e">
        <f>VLOOKUP(B186,#REF!,50,0)</f>
        <v>#REF!</v>
      </c>
      <c r="AD186" s="271" t="e">
        <f>VLOOKUP(B186,#REF!,4,0)/1000</f>
        <v>#REF!</v>
      </c>
      <c r="AE186" s="271" t="e">
        <f>VLOOKUP(B186,#REF!,5,0)</f>
        <v>#REF!</v>
      </c>
      <c r="AF186" s="271" t="e">
        <f>VLOOKUP(B186,#REF!,51,0)</f>
        <v>#REF!</v>
      </c>
      <c r="AG186" s="271" t="e">
        <f>VLOOKUP(B186,#REF!,52,0)</f>
        <v>#REF!</v>
      </c>
      <c r="AH186" s="271"/>
      <c r="AI186" s="271"/>
      <c r="AJ186" s="271"/>
      <c r="AK186" s="268" t="e">
        <f>V186/#REF!*(W186+Z186/8*2+AA186/8*1.5+AB186*3)+J186/#REF!*(X186+Y186)+AC186+P186+AE186+AG186+AH186+AI186+AJ186</f>
        <v>#REF!</v>
      </c>
      <c r="AL186" s="267">
        <f t="shared" si="185"/>
        <v>480.58499999999998</v>
      </c>
      <c r="AM186" s="504">
        <v>4577</v>
      </c>
      <c r="AN186" s="272" t="e">
        <f>VLOOKUP(B186,#REF!,75,0)</f>
        <v>#REF!</v>
      </c>
      <c r="AO186" s="272"/>
      <c r="AP186" s="442" t="e">
        <f t="shared" si="202"/>
        <v>#REF!</v>
      </c>
    </row>
    <row r="187" spans="1:42">
      <c r="A187" s="262"/>
      <c r="B187" s="271" t="s">
        <v>370</v>
      </c>
      <c r="C187" s="232" t="s">
        <v>444</v>
      </c>
      <c r="D187" s="324" t="str">
        <f>'THANG B.LUONG'!$B$53</f>
        <v>NV Giao nhận/ Phụ xe</v>
      </c>
      <c r="E187" s="493">
        <v>42877</v>
      </c>
      <c r="F187" s="265">
        <v>2</v>
      </c>
      <c r="G187" s="266">
        <f t="shared" si="198"/>
        <v>1</v>
      </c>
      <c r="H187" s="266">
        <f t="shared" si="199"/>
        <v>3</v>
      </c>
      <c r="I187" s="267">
        <f t="shared" si="200"/>
        <v>3</v>
      </c>
      <c r="J187" s="267">
        <f>VLOOKUP(D187,'THANG B.LUONG'!$B$5:$I$513,F187+1,0)</f>
        <v>0</v>
      </c>
      <c r="K187" s="267">
        <v>0</v>
      </c>
      <c r="L187" s="267">
        <v>0</v>
      </c>
      <c r="M187" s="267">
        <f t="shared" si="201"/>
        <v>0</v>
      </c>
      <c r="N187" s="267">
        <v>0</v>
      </c>
      <c r="O187" s="267">
        <v>200</v>
      </c>
      <c r="P187" s="267">
        <v>100</v>
      </c>
      <c r="Q187" s="267">
        <v>0</v>
      </c>
      <c r="R187" s="267">
        <v>0</v>
      </c>
      <c r="S187" s="267">
        <v>0</v>
      </c>
      <c r="T187" s="267">
        <v>0</v>
      </c>
      <c r="U187" s="267">
        <v>0</v>
      </c>
      <c r="V187" s="268">
        <f t="shared" si="187"/>
        <v>200</v>
      </c>
      <c r="W187" s="269" t="e">
        <f>VLOOKUP(B187,#REF!,35,0)</f>
        <v>#REF!</v>
      </c>
      <c r="X187" s="267" t="e">
        <f>VLOOKUP(B187,#REF!,37,0)</f>
        <v>#REF!</v>
      </c>
      <c r="Y187" s="270" t="e">
        <f>VLOOKUP(B187,#REF!,38,0)</f>
        <v>#REF!</v>
      </c>
      <c r="Z187" s="267" t="e">
        <f>VLOOKUP(B187,#REF!,72,0)</f>
        <v>#REF!</v>
      </c>
      <c r="AA187" s="267" t="e">
        <f>VLOOKUP(B187,#REF!,71,0)</f>
        <v>#REF!</v>
      </c>
      <c r="AB187" s="267" t="e">
        <f>VLOOKUP(B187,#REF!,36,0)</f>
        <v>#REF!</v>
      </c>
      <c r="AC187" s="267" t="e">
        <f>VLOOKUP(B187,#REF!,50,0)</f>
        <v>#REF!</v>
      </c>
      <c r="AD187" s="271" t="e">
        <f>VLOOKUP(B187,#REF!,4,0)/1000</f>
        <v>#REF!</v>
      </c>
      <c r="AE187" s="271" t="e">
        <f>VLOOKUP(B187,#REF!,5,0)</f>
        <v>#REF!</v>
      </c>
      <c r="AF187" s="271" t="e">
        <f>VLOOKUP(B187,#REF!,51,0)</f>
        <v>#REF!</v>
      </c>
      <c r="AG187" s="271" t="e">
        <f>VLOOKUP(B187,#REF!,52,0)</f>
        <v>#REF!</v>
      </c>
      <c r="AH187" s="271"/>
      <c r="AI187" s="271"/>
      <c r="AJ187" s="271"/>
      <c r="AK187" s="268" t="e">
        <f>V187/#REF!*(W187+Z187/8*2+AA187/8*1.5+AB187*3)+J187/#REF!*(X187+Y187)+AC187+P187+AE187+AG187+AH187+AI187+AJ187</f>
        <v>#REF!</v>
      </c>
      <c r="AL187" s="267">
        <f t="shared" si="185"/>
        <v>480.58499999999998</v>
      </c>
      <c r="AM187" s="504">
        <v>4577</v>
      </c>
      <c r="AN187" s="272" t="e">
        <f>VLOOKUP(B187,#REF!,75,0)</f>
        <v>#REF!</v>
      </c>
      <c r="AO187" s="272"/>
      <c r="AP187" s="442" t="e">
        <f t="shared" si="202"/>
        <v>#REF!</v>
      </c>
    </row>
    <row r="188" spans="1:42">
      <c r="A188" s="262"/>
      <c r="B188" s="271" t="s">
        <v>371</v>
      </c>
      <c r="C188" s="232" t="s">
        <v>445</v>
      </c>
      <c r="D188" s="324" t="str">
        <f>'THANG B.LUONG'!$B$53</f>
        <v>NV Giao nhận/ Phụ xe</v>
      </c>
      <c r="E188" s="493">
        <v>42970</v>
      </c>
      <c r="F188" s="265">
        <v>2</v>
      </c>
      <c r="G188" s="266">
        <f>DATEDIF(E188,$J$3,"y")</f>
        <v>1</v>
      </c>
      <c r="H188" s="266">
        <f>DATEDIF(E188,$J$3,"ym")</f>
        <v>0</v>
      </c>
      <c r="I188" s="267">
        <f>DATEDIF(E188,$J$3,"md")</f>
        <v>2</v>
      </c>
      <c r="J188" s="267">
        <f>VLOOKUP(D188,'THANG B.LUONG'!$B$5:$I$513,F188+1,0)</f>
        <v>0</v>
      </c>
      <c r="K188" s="267">
        <v>0</v>
      </c>
      <c r="L188" s="267">
        <v>0</v>
      </c>
      <c r="M188" s="267">
        <f>IF(G188&gt;=3,J188*(0.03+(G188-3)*0.01),0)</f>
        <v>0</v>
      </c>
      <c r="N188" s="267">
        <v>0</v>
      </c>
      <c r="O188" s="267">
        <v>200</v>
      </c>
      <c r="P188" s="267">
        <v>100</v>
      </c>
      <c r="Q188" s="267">
        <v>0</v>
      </c>
      <c r="R188" s="267">
        <v>0</v>
      </c>
      <c r="S188" s="267">
        <v>0</v>
      </c>
      <c r="T188" s="267">
        <v>0</v>
      </c>
      <c r="U188" s="267">
        <v>0</v>
      </c>
      <c r="V188" s="268">
        <f>SUM(J188:U188)-P188</f>
        <v>200</v>
      </c>
      <c r="W188" s="269" t="e">
        <f>VLOOKUP(B188,#REF!,35,0)</f>
        <v>#REF!</v>
      </c>
      <c r="X188" s="267" t="e">
        <f>VLOOKUP(B188,#REF!,37,0)</f>
        <v>#REF!</v>
      </c>
      <c r="Y188" s="270" t="e">
        <f>VLOOKUP(B188,#REF!,38,0)</f>
        <v>#REF!</v>
      </c>
      <c r="Z188" s="267" t="e">
        <f>VLOOKUP(B188,#REF!,72,0)</f>
        <v>#REF!</v>
      </c>
      <c r="AA188" s="267" t="e">
        <f>VLOOKUP(B188,#REF!,71,0)</f>
        <v>#REF!</v>
      </c>
      <c r="AB188" s="267" t="e">
        <f>VLOOKUP(B188,#REF!,36,0)</f>
        <v>#REF!</v>
      </c>
      <c r="AC188" s="267" t="e">
        <f>VLOOKUP(B188,#REF!,50,0)</f>
        <v>#REF!</v>
      </c>
      <c r="AD188" s="271" t="e">
        <f>VLOOKUP(B188,#REF!,4,0)/1000</f>
        <v>#REF!</v>
      </c>
      <c r="AE188" s="271" t="e">
        <f>VLOOKUP(B188,#REF!,5,0)</f>
        <v>#REF!</v>
      </c>
      <c r="AF188" s="271" t="e">
        <f>VLOOKUP(B188,#REF!,51,0)</f>
        <v>#REF!</v>
      </c>
      <c r="AG188" s="271" t="e">
        <f>VLOOKUP(B188,#REF!,52,0)</f>
        <v>#REF!</v>
      </c>
      <c r="AH188" s="271"/>
      <c r="AI188" s="271"/>
      <c r="AJ188" s="271"/>
      <c r="AK188" s="268" t="e">
        <f>V188/#REF!*(W188+Z188/8*2+AA188/8*1.5+AB188*3)+J188/#REF!*(X188+Y188)+AC188+P188+AE188+AG188+AH188+AI188+AJ188</f>
        <v>#REF!</v>
      </c>
      <c r="AL188" s="267">
        <f>AM188*$AN$3</f>
        <v>0</v>
      </c>
      <c r="AM188" s="414">
        <v>0</v>
      </c>
      <c r="AN188" s="272" t="e">
        <f>VLOOKUP(B188,#REF!,75,0)</f>
        <v>#REF!</v>
      </c>
      <c r="AO188" s="272"/>
      <c r="AP188" s="442" t="e">
        <f>ROUND(AK188-AL188-AN188+AO188,-1)</f>
        <v>#REF!</v>
      </c>
    </row>
    <row r="189" spans="1:42">
      <c r="A189" s="262"/>
      <c r="B189" s="271" t="s">
        <v>372</v>
      </c>
      <c r="C189" s="232" t="s">
        <v>446</v>
      </c>
      <c r="D189" s="324" t="str">
        <f>'THANG B.LUONG'!$B$53</f>
        <v>NV Giao nhận/ Phụ xe</v>
      </c>
      <c r="E189" s="493">
        <v>41831</v>
      </c>
      <c r="F189" s="265">
        <v>2</v>
      </c>
      <c r="G189" s="266">
        <f>DATEDIF(E189,$J$3,"y")</f>
        <v>4</v>
      </c>
      <c r="H189" s="266">
        <f>DATEDIF(E189,$J$3,"ym")</f>
        <v>1</v>
      </c>
      <c r="I189" s="267">
        <f>DATEDIF(E189,$J$3,"md")</f>
        <v>14</v>
      </c>
      <c r="J189" s="267">
        <f>VLOOKUP(D189,'THANG B.LUONG'!$B$5:$I$513,F189+1,0)</f>
        <v>0</v>
      </c>
      <c r="K189" s="267">
        <v>0</v>
      </c>
      <c r="L189" s="267">
        <v>0</v>
      </c>
      <c r="M189" s="267">
        <f>IF(G189&gt;=3,J189*(0.03+(G189-3)*0.01),0)</f>
        <v>0</v>
      </c>
      <c r="N189" s="267">
        <v>0</v>
      </c>
      <c r="O189" s="267">
        <v>200</v>
      </c>
      <c r="P189" s="267">
        <v>100</v>
      </c>
      <c r="Q189" s="267">
        <v>0</v>
      </c>
      <c r="R189" s="267">
        <v>0</v>
      </c>
      <c r="S189" s="267">
        <v>0</v>
      </c>
      <c r="T189" s="267">
        <v>0</v>
      </c>
      <c r="U189" s="267">
        <v>0</v>
      </c>
      <c r="V189" s="268">
        <f>SUM(J189:U189)-P189</f>
        <v>200</v>
      </c>
      <c r="W189" s="269" t="e">
        <f>VLOOKUP(B189,#REF!,35,0)</f>
        <v>#REF!</v>
      </c>
      <c r="X189" s="267" t="e">
        <f>VLOOKUP(B189,#REF!,37,0)</f>
        <v>#REF!</v>
      </c>
      <c r="Y189" s="270" t="e">
        <f>VLOOKUP(B189,#REF!,38,0)</f>
        <v>#REF!</v>
      </c>
      <c r="Z189" s="267" t="e">
        <f>VLOOKUP(B189,#REF!,72,0)</f>
        <v>#REF!</v>
      </c>
      <c r="AA189" s="267" t="e">
        <f>VLOOKUP(B189,#REF!,71,0)</f>
        <v>#REF!</v>
      </c>
      <c r="AB189" s="267" t="e">
        <f>VLOOKUP(B189,#REF!,36,0)</f>
        <v>#REF!</v>
      </c>
      <c r="AC189" s="267" t="e">
        <f>VLOOKUP(B189,#REF!,50,0)</f>
        <v>#REF!</v>
      </c>
      <c r="AD189" s="271" t="e">
        <f>VLOOKUP(B189,#REF!,4,0)/1000</f>
        <v>#REF!</v>
      </c>
      <c r="AE189" s="271" t="e">
        <f>VLOOKUP(B189,#REF!,5,0)</f>
        <v>#REF!</v>
      </c>
      <c r="AF189" s="271" t="e">
        <f>VLOOKUP(B189,#REF!,51,0)</f>
        <v>#REF!</v>
      </c>
      <c r="AG189" s="271" t="e">
        <f>VLOOKUP(B189,#REF!,52,0)</f>
        <v>#REF!</v>
      </c>
      <c r="AH189" s="271"/>
      <c r="AI189" s="271"/>
      <c r="AJ189" s="271"/>
      <c r="AK189" s="268" t="e">
        <f>V189/#REF!*(W189+Z189/8*2+AA189/8*1.5+AB189*3)+J189/#REF!*(X189+Y189)+AC189+P189+AE189+AG189+AH189+AI189+AJ189</f>
        <v>#REF!</v>
      </c>
      <c r="AL189" s="267">
        <f>AM189*$AN$3</f>
        <v>480.58499999999998</v>
      </c>
      <c r="AM189" s="414">
        <v>4577</v>
      </c>
      <c r="AN189" s="272" t="e">
        <f>VLOOKUP(B189,#REF!,75,0)</f>
        <v>#REF!</v>
      </c>
      <c r="AO189" s="272"/>
      <c r="AP189" s="442" t="e">
        <f>ROUND(AK189-AL189-AN189+AO189,-1)</f>
        <v>#REF!</v>
      </c>
    </row>
    <row r="190" spans="1:42">
      <c r="A190" s="262"/>
      <c r="B190" s="271" t="s">
        <v>631</v>
      </c>
      <c r="C190" s="232" t="s">
        <v>632</v>
      </c>
      <c r="D190" s="324" t="str">
        <f>'THANG B.LUONG'!$B$53</f>
        <v>NV Giao nhận/ Phụ xe</v>
      </c>
      <c r="E190" s="493">
        <v>43204</v>
      </c>
      <c r="F190" s="265">
        <v>1</v>
      </c>
      <c r="G190" s="266">
        <f t="shared" si="198"/>
        <v>0</v>
      </c>
      <c r="H190" s="266">
        <f t="shared" si="199"/>
        <v>4</v>
      </c>
      <c r="I190" s="267">
        <f t="shared" si="200"/>
        <v>11</v>
      </c>
      <c r="J190" s="267">
        <f>VLOOKUP(D190,'THANG B.LUONG'!$B$5:$I$513,F190+1,0)</f>
        <v>0</v>
      </c>
      <c r="K190" s="267">
        <v>0</v>
      </c>
      <c r="L190" s="267">
        <v>0</v>
      </c>
      <c r="M190" s="267">
        <f t="shared" si="201"/>
        <v>0</v>
      </c>
      <c r="N190" s="267">
        <v>0</v>
      </c>
      <c r="O190" s="267"/>
      <c r="P190" s="267"/>
      <c r="Q190" s="267">
        <v>0</v>
      </c>
      <c r="R190" s="267">
        <v>0</v>
      </c>
      <c r="S190" s="267">
        <v>0</v>
      </c>
      <c r="T190" s="267">
        <v>0</v>
      </c>
      <c r="U190" s="267">
        <v>0</v>
      </c>
      <c r="V190" s="268">
        <f>SUM(J190:U190)-P190</f>
        <v>0</v>
      </c>
      <c r="W190" s="269" t="e">
        <f>VLOOKUP(B190,#REF!,35,0)</f>
        <v>#REF!</v>
      </c>
      <c r="X190" s="267" t="e">
        <f>VLOOKUP(B190,#REF!,37,0)</f>
        <v>#REF!</v>
      </c>
      <c r="Y190" s="270" t="e">
        <f>VLOOKUP(B190,#REF!,38,0)</f>
        <v>#REF!</v>
      </c>
      <c r="Z190" s="267" t="e">
        <f>VLOOKUP(B190,#REF!,72,0)</f>
        <v>#REF!</v>
      </c>
      <c r="AA190" s="267" t="e">
        <f>VLOOKUP(B190,#REF!,71,0)</f>
        <v>#REF!</v>
      </c>
      <c r="AB190" s="267" t="e">
        <f>VLOOKUP(B190,#REF!,36,0)</f>
        <v>#REF!</v>
      </c>
      <c r="AC190" s="267" t="e">
        <f>VLOOKUP(B190,#REF!,50,0)</f>
        <v>#REF!</v>
      </c>
      <c r="AD190" s="271" t="e">
        <f>VLOOKUP(B190,#REF!,4,0)/1000</f>
        <v>#REF!</v>
      </c>
      <c r="AE190" s="271" t="e">
        <f>VLOOKUP(B190,#REF!,5,0)</f>
        <v>#REF!</v>
      </c>
      <c r="AF190" s="271" t="e">
        <f>VLOOKUP(B190,#REF!,51,0)</f>
        <v>#REF!</v>
      </c>
      <c r="AG190" s="271" t="e">
        <f>VLOOKUP(B190,#REF!,52,0)</f>
        <v>#REF!</v>
      </c>
      <c r="AH190" s="271"/>
      <c r="AI190" s="271"/>
      <c r="AJ190" s="271"/>
      <c r="AK190" s="268" t="e">
        <f>V190/#REF!*(W190+Z190/8*2+AA190/8*1.5+AB190*3)+J190/#REF!*(X190+Y190)+AC190+P190+AE190+AG190+AH190+AI190+AJ190</f>
        <v>#REF!</v>
      </c>
      <c r="AL190" s="267">
        <f t="shared" si="185"/>
        <v>0</v>
      </c>
      <c r="AM190" s="281">
        <v>0</v>
      </c>
      <c r="AN190" s="272" t="e">
        <f>VLOOKUP(B190,#REF!,75,0)</f>
        <v>#REF!</v>
      </c>
      <c r="AO190" s="272"/>
      <c r="AP190" s="442" t="e">
        <f t="shared" si="202"/>
        <v>#REF!</v>
      </c>
    </row>
    <row r="191" spans="1:42">
      <c r="A191" s="262"/>
      <c r="B191" s="271" t="s">
        <v>367</v>
      </c>
      <c r="C191" s="232" t="s">
        <v>733</v>
      </c>
      <c r="D191" s="324" t="str">
        <f>'THANG B.LUONG'!$B$53</f>
        <v>NV Giao nhận/ Phụ xe</v>
      </c>
      <c r="E191" s="493">
        <v>43234</v>
      </c>
      <c r="F191" s="265">
        <v>2</v>
      </c>
      <c r="G191" s="266">
        <f>DATEDIF(E191,$J$3,"y")</f>
        <v>0</v>
      </c>
      <c r="H191" s="266">
        <f>DATEDIF(E191,$J$3,"ym")</f>
        <v>3</v>
      </c>
      <c r="I191" s="267">
        <f>DATEDIF(E191,$J$3,"md")</f>
        <v>11</v>
      </c>
      <c r="J191" s="267">
        <f>VLOOKUP(D191,'THANG B.LUONG'!$B$5:$I$513,F191+1,0)</f>
        <v>0</v>
      </c>
      <c r="K191" s="267">
        <v>0</v>
      </c>
      <c r="L191" s="267">
        <v>0</v>
      </c>
      <c r="M191" s="267">
        <f>IF(G191&gt;=3,J191*(0.03+(G191-3)*0.01),0)</f>
        <v>0</v>
      </c>
      <c r="N191" s="267">
        <v>0</v>
      </c>
      <c r="O191" s="267">
        <v>200</v>
      </c>
      <c r="P191" s="267">
        <v>100</v>
      </c>
      <c r="Q191" s="267">
        <v>0</v>
      </c>
      <c r="R191" s="267">
        <v>0</v>
      </c>
      <c r="S191" s="267">
        <v>0</v>
      </c>
      <c r="T191" s="267">
        <v>0</v>
      </c>
      <c r="U191" s="267">
        <v>0</v>
      </c>
      <c r="V191" s="268">
        <f>SUM(J191:U191)-P191</f>
        <v>200</v>
      </c>
      <c r="W191" s="269" t="e">
        <f>VLOOKUP(B191,#REF!,35,0)</f>
        <v>#REF!</v>
      </c>
      <c r="X191" s="267" t="e">
        <f>VLOOKUP(B191,#REF!,37,0)</f>
        <v>#REF!</v>
      </c>
      <c r="Y191" s="270" t="e">
        <f>VLOOKUP(B191,#REF!,38,0)</f>
        <v>#REF!</v>
      </c>
      <c r="Z191" s="267" t="e">
        <f>VLOOKUP(B191,#REF!,72,0)</f>
        <v>#REF!</v>
      </c>
      <c r="AA191" s="267" t="e">
        <f>VLOOKUP(B191,#REF!,71,0)</f>
        <v>#REF!</v>
      </c>
      <c r="AB191" s="267" t="e">
        <f>VLOOKUP(B191,#REF!,36,0)</f>
        <v>#REF!</v>
      </c>
      <c r="AC191" s="267" t="e">
        <f>VLOOKUP(B191,#REF!,50,0)</f>
        <v>#REF!</v>
      </c>
      <c r="AD191" s="271" t="e">
        <f>VLOOKUP(B191,#REF!,4,0)/1000</f>
        <v>#REF!</v>
      </c>
      <c r="AE191" s="271" t="e">
        <f>VLOOKUP(B191,#REF!,5,0)</f>
        <v>#REF!</v>
      </c>
      <c r="AF191" s="271" t="e">
        <f>VLOOKUP(B191,#REF!,51,0)</f>
        <v>#REF!</v>
      </c>
      <c r="AG191" s="271" t="e">
        <f>VLOOKUP(B191,#REF!,52,0)</f>
        <v>#REF!</v>
      </c>
      <c r="AH191" s="271"/>
      <c r="AI191" s="271"/>
      <c r="AJ191" s="271"/>
      <c r="AK191" s="268" t="e">
        <f>V191/#REF!*(W191+Z191/8*2+AA191/8*1.5+AB191*3)+J191/#REF!*(X191+Y191)+AC191+P191+AE191+AG191+AH191+AI191+AJ191</f>
        <v>#REF!</v>
      </c>
      <c r="AL191" s="267">
        <f>AM191*$AN$3</f>
        <v>0</v>
      </c>
      <c r="AM191" s="414">
        <v>0</v>
      </c>
      <c r="AN191" s="272" t="e">
        <f>VLOOKUP(B191,#REF!,75,0)</f>
        <v>#REF!</v>
      </c>
      <c r="AO191" s="272"/>
      <c r="AP191" s="442" t="e">
        <f>ROUND(AK191-AL191-AN191+AO191,-1)</f>
        <v>#REF!</v>
      </c>
    </row>
    <row r="192" spans="1:42">
      <c r="A192" s="262"/>
      <c r="B192" s="271" t="s">
        <v>771</v>
      </c>
      <c r="C192" s="232" t="s">
        <v>772</v>
      </c>
      <c r="D192" s="324" t="str">
        <f>'THANG B.LUONG'!$B$53</f>
        <v>NV Giao nhận/ Phụ xe</v>
      </c>
      <c r="E192" s="493">
        <v>43259</v>
      </c>
      <c r="F192" s="265">
        <v>2</v>
      </c>
      <c r="G192" s="266">
        <f>DATEDIF(E192,$J$3,"y")</f>
        <v>0</v>
      </c>
      <c r="H192" s="266">
        <f>DATEDIF(E192,$J$3,"ym")</f>
        <v>2</v>
      </c>
      <c r="I192" s="267">
        <f>DATEDIF(E192,$J$3,"md")</f>
        <v>17</v>
      </c>
      <c r="J192" s="267">
        <f>VLOOKUP(D192,'THANG B.LUONG'!$B$5:$I$513,F192+1,0)</f>
        <v>0</v>
      </c>
      <c r="K192" s="267">
        <v>0</v>
      </c>
      <c r="L192" s="267">
        <v>0</v>
      </c>
      <c r="M192" s="267">
        <f>IF(G192&gt;=3,J192*(0.03+(G192-3)*0.01),0)</f>
        <v>0</v>
      </c>
      <c r="N192" s="267">
        <v>0</v>
      </c>
      <c r="O192" s="267">
        <v>200</v>
      </c>
      <c r="P192" s="267">
        <v>100</v>
      </c>
      <c r="Q192" s="267">
        <v>0</v>
      </c>
      <c r="R192" s="267">
        <v>0</v>
      </c>
      <c r="S192" s="267">
        <v>0</v>
      </c>
      <c r="T192" s="267">
        <v>0</v>
      </c>
      <c r="U192" s="267">
        <v>0</v>
      </c>
      <c r="V192" s="268">
        <f>SUM(J192:U192)-P192</f>
        <v>200</v>
      </c>
      <c r="W192" s="269" t="e">
        <f>VLOOKUP(B192,#REF!,35,0)</f>
        <v>#REF!</v>
      </c>
      <c r="X192" s="267" t="e">
        <f>VLOOKUP(B192,#REF!,37,0)</f>
        <v>#REF!</v>
      </c>
      <c r="Y192" s="270" t="e">
        <f>VLOOKUP(B192,#REF!,38,0)</f>
        <v>#REF!</v>
      </c>
      <c r="Z192" s="267" t="e">
        <f>VLOOKUP(B192,#REF!,72,0)</f>
        <v>#REF!</v>
      </c>
      <c r="AA192" s="267" t="e">
        <f>VLOOKUP(B192,#REF!,71,0)</f>
        <v>#REF!</v>
      </c>
      <c r="AB192" s="267" t="e">
        <f>VLOOKUP(B192,#REF!,36,0)</f>
        <v>#REF!</v>
      </c>
      <c r="AC192" s="267" t="e">
        <f>VLOOKUP(B192,#REF!,50,0)</f>
        <v>#REF!</v>
      </c>
      <c r="AD192" s="271" t="e">
        <f>VLOOKUP(B192,#REF!,4,0)/1000</f>
        <v>#REF!</v>
      </c>
      <c r="AE192" s="271" t="e">
        <f>VLOOKUP(B192,#REF!,5,0)</f>
        <v>#REF!</v>
      </c>
      <c r="AF192" s="271" t="e">
        <f>VLOOKUP(B192,#REF!,51,0)</f>
        <v>#REF!</v>
      </c>
      <c r="AG192" s="271" t="e">
        <f>VLOOKUP(B192,#REF!,52,0)</f>
        <v>#REF!</v>
      </c>
      <c r="AH192" s="271"/>
      <c r="AI192" s="271"/>
      <c r="AJ192" s="271"/>
      <c r="AK192" s="268" t="e">
        <f>V192/#REF!*(W192+Z192/8*2+AA192/8*1.5+AB192*3)+J192/#REF!*(X192+Y192)+AC192+P192+AE192+AG192+AH192+AI192+AJ192</f>
        <v>#REF!</v>
      </c>
      <c r="AL192" s="267">
        <f>AM192*$AN$3</f>
        <v>0</v>
      </c>
      <c r="AM192" s="414">
        <v>0</v>
      </c>
      <c r="AN192" s="272" t="e">
        <f>VLOOKUP(B192,#REF!,75,0)</f>
        <v>#REF!</v>
      </c>
      <c r="AO192" s="272"/>
      <c r="AP192" s="442" t="e">
        <f>ROUND(AK192-AL192-AN192+AO192,-1)</f>
        <v>#REF!</v>
      </c>
    </row>
    <row r="193" spans="1:42">
      <c r="A193" s="298"/>
      <c r="B193" s="301"/>
      <c r="C193" s="299"/>
      <c r="D193" s="410"/>
      <c r="E193" s="499"/>
      <c r="F193" s="411"/>
      <c r="G193" s="300"/>
      <c r="H193" s="300"/>
      <c r="I193" s="301"/>
      <c r="J193" s="301"/>
      <c r="K193" s="301"/>
      <c r="L193" s="301"/>
      <c r="M193" s="301"/>
      <c r="N193" s="301"/>
      <c r="O193" s="301"/>
      <c r="P193" s="301"/>
      <c r="Q193" s="301"/>
      <c r="R193" s="301"/>
      <c r="S193" s="301"/>
      <c r="T193" s="301"/>
      <c r="U193" s="301"/>
      <c r="V193" s="302"/>
      <c r="W193" s="303"/>
      <c r="X193" s="301"/>
      <c r="Y193" s="301"/>
      <c r="Z193" s="301"/>
      <c r="AA193" s="301"/>
      <c r="AB193" s="301"/>
      <c r="AC193" s="301"/>
      <c r="AD193" s="301"/>
      <c r="AE193" s="301"/>
      <c r="AF193" s="301"/>
      <c r="AG193" s="301"/>
      <c r="AH193" s="301"/>
      <c r="AI193" s="301"/>
      <c r="AJ193" s="301"/>
      <c r="AK193" s="302"/>
      <c r="AL193" s="301"/>
      <c r="AM193" s="412"/>
      <c r="AN193" s="412"/>
      <c r="AO193" s="412"/>
      <c r="AP193" s="563" t="e">
        <f>AP122+AP119+AP111+AP106+AP89+AP85+AP76+AP74+AP71+AP60+AP51+AP44+AP34+AP26+AP24+AP12+AP9+AP57</f>
        <v>#REF!</v>
      </c>
    </row>
    <row r="194" spans="1:42">
      <c r="A194" s="298"/>
      <c r="B194" s="477"/>
      <c r="C194" s="299"/>
      <c r="D194" s="300"/>
      <c r="E194" s="499"/>
      <c r="F194" s="300"/>
      <c r="G194" s="300"/>
      <c r="H194" s="300"/>
      <c r="I194" s="301"/>
      <c r="J194" s="301"/>
      <c r="K194" s="301"/>
      <c r="L194" s="301"/>
      <c r="M194" s="301"/>
      <c r="N194" s="301"/>
      <c r="O194" s="301"/>
      <c r="P194" s="301"/>
      <c r="Q194" s="301"/>
      <c r="R194" s="301"/>
      <c r="S194" s="301"/>
      <c r="T194" s="301"/>
      <c r="U194" s="301"/>
      <c r="V194" s="302"/>
      <c r="W194" s="303"/>
      <c r="X194" s="301"/>
      <c r="Y194" s="301"/>
      <c r="Z194" s="301"/>
      <c r="AA194" s="301"/>
      <c r="AB194" s="301"/>
      <c r="AC194" s="301"/>
      <c r="AD194" s="301"/>
      <c r="AE194" s="301"/>
      <c r="AF194" s="301"/>
      <c r="AG194" s="301"/>
      <c r="AH194" s="301"/>
      <c r="AI194" s="301"/>
      <c r="AJ194" s="301"/>
      <c r="AK194" s="302"/>
      <c r="AL194" s="301"/>
      <c r="AM194" s="301"/>
      <c r="AN194" s="393"/>
      <c r="AO194" s="305"/>
      <c r="AP194" s="304" t="e">
        <f>AP154+AP166+AP182</f>
        <v>#REF!</v>
      </c>
    </row>
    <row r="195" spans="1:42" ht="15" hidden="1" customHeight="1">
      <c r="A195" s="298"/>
      <c r="B195" s="477"/>
      <c r="C195" s="299"/>
      <c r="D195" s="300"/>
      <c r="E195" s="499"/>
      <c r="F195" s="300"/>
      <c r="G195" s="300"/>
      <c r="H195" s="300"/>
      <c r="I195" s="301"/>
      <c r="J195" s="301"/>
      <c r="K195" s="301"/>
      <c r="L195" s="301"/>
      <c r="M195" s="301"/>
      <c r="N195" s="301"/>
      <c r="O195" s="301"/>
      <c r="P195" s="301"/>
      <c r="Q195" s="301"/>
      <c r="R195" s="301"/>
      <c r="S195" s="301"/>
      <c r="T195" s="301"/>
      <c r="U195" s="301"/>
      <c r="V195" s="302"/>
      <c r="W195" s="303"/>
      <c r="X195" s="301"/>
      <c r="Y195" s="301"/>
      <c r="Z195" s="301"/>
      <c r="AA195" s="301"/>
      <c r="AB195" s="301"/>
      <c r="AC195" s="301"/>
      <c r="AD195" s="301"/>
      <c r="AE195" s="301"/>
      <c r="AF195" s="301"/>
      <c r="AG195" s="301"/>
      <c r="AH195" s="301"/>
      <c r="AI195" s="301"/>
      <c r="AJ195" s="301"/>
      <c r="AK195" s="302"/>
      <c r="AL195" s="301"/>
      <c r="AM195" s="301"/>
      <c r="AN195" s="393"/>
      <c r="AO195" s="305"/>
      <c r="AP195" s="304" t="e">
        <f>AP130+AP128+AP126</f>
        <v>#REF!</v>
      </c>
    </row>
    <row r="196" spans="1:42" ht="12.75" customHeight="1">
      <c r="A196" s="237"/>
      <c r="B196" s="608" t="s">
        <v>533</v>
      </c>
      <c r="C196" s="608"/>
      <c r="D196" s="240"/>
      <c r="E196" s="500"/>
      <c r="F196" s="240"/>
      <c r="G196" s="306"/>
      <c r="H196" s="306"/>
      <c r="I196" s="306"/>
      <c r="J196" s="609" t="s">
        <v>534</v>
      </c>
      <c r="K196" s="609"/>
      <c r="L196" s="609"/>
      <c r="M196" s="609"/>
      <c r="N196" s="609"/>
      <c r="O196" s="609"/>
      <c r="P196" s="240"/>
      <c r="Q196" s="240"/>
      <c r="R196" s="240"/>
      <c r="S196" s="240" t="s">
        <v>534</v>
      </c>
      <c r="T196" s="240"/>
      <c r="U196" s="240"/>
      <c r="V196" s="240"/>
      <c r="W196" s="609" t="s">
        <v>536</v>
      </c>
      <c r="X196" s="609"/>
      <c r="Y196" s="609"/>
      <c r="Z196" s="609"/>
      <c r="AA196" s="240"/>
      <c r="AB196" s="240"/>
      <c r="AC196" s="240"/>
      <c r="AD196" s="240"/>
      <c r="AE196" s="240"/>
      <c r="AF196" s="240"/>
      <c r="AG196" s="240"/>
      <c r="AH196" s="240"/>
      <c r="AI196" s="240"/>
      <c r="AJ196" s="240"/>
      <c r="AK196" s="237"/>
      <c r="AL196" s="608" t="s">
        <v>569</v>
      </c>
      <c r="AM196" s="608"/>
      <c r="AN196" s="608"/>
      <c r="AO196" s="237"/>
      <c r="AP196" s="393"/>
    </row>
    <row r="197" spans="1:42" s="465" customFormat="1" ht="14.25" customHeight="1">
      <c r="A197" s="402"/>
      <c r="B197" s="611" t="s">
        <v>532</v>
      </c>
      <c r="C197" s="611"/>
      <c r="D197" s="403"/>
      <c r="E197" s="501"/>
      <c r="F197" s="403"/>
      <c r="G197" s="404"/>
      <c r="H197" s="404"/>
      <c r="I197" s="404"/>
      <c r="J197" s="610" t="s">
        <v>535</v>
      </c>
      <c r="K197" s="610"/>
      <c r="L197" s="610"/>
      <c r="M197" s="610"/>
      <c r="N197" s="610"/>
      <c r="O197" s="610"/>
      <c r="P197" s="403"/>
      <c r="Q197" s="403"/>
      <c r="R197" s="403"/>
      <c r="S197" s="403" t="s">
        <v>535</v>
      </c>
      <c r="T197" s="403"/>
      <c r="U197" s="403"/>
      <c r="V197" s="403"/>
      <c r="W197" s="507" t="s">
        <v>537</v>
      </c>
      <c r="X197" s="507"/>
      <c r="Y197" s="507"/>
      <c r="Z197" s="507"/>
      <c r="AA197" s="507"/>
      <c r="AB197" s="507"/>
      <c r="AC197" s="507"/>
      <c r="AD197" s="403"/>
      <c r="AE197" s="403"/>
      <c r="AF197" s="403"/>
      <c r="AG197" s="403"/>
      <c r="AH197" s="403"/>
      <c r="AI197" s="403"/>
      <c r="AJ197" s="403"/>
      <c r="AK197" s="402"/>
      <c r="AL197" s="611" t="s">
        <v>609</v>
      </c>
      <c r="AM197" s="611"/>
      <c r="AN197" s="611"/>
      <c r="AO197" s="402"/>
      <c r="AP197" s="402"/>
    </row>
    <row r="198" spans="1:42">
      <c r="A198" s="237"/>
      <c r="B198" s="479"/>
      <c r="C198" s="237"/>
      <c r="D198" s="240"/>
      <c r="E198" s="500"/>
      <c r="F198" s="240"/>
      <c r="G198" s="306"/>
      <c r="H198" s="306"/>
      <c r="I198" s="306"/>
      <c r="J198" s="240"/>
      <c r="K198" s="240"/>
      <c r="L198" s="240"/>
      <c r="M198" s="240"/>
      <c r="N198" s="240"/>
      <c r="O198" s="240"/>
      <c r="P198" s="240"/>
      <c r="Q198" s="240"/>
      <c r="R198" s="240"/>
      <c r="S198" s="240"/>
      <c r="T198" s="240"/>
      <c r="U198" s="240"/>
      <c r="V198" s="240"/>
      <c r="W198" s="241"/>
      <c r="X198" s="240"/>
      <c r="Y198" s="240"/>
      <c r="Z198" s="240"/>
      <c r="AA198" s="240"/>
      <c r="AB198" s="240"/>
      <c r="AC198" s="240"/>
      <c r="AD198" s="240"/>
      <c r="AE198" s="240"/>
      <c r="AF198" s="240"/>
      <c r="AG198" s="240"/>
      <c r="AH198" s="240"/>
      <c r="AI198" s="240"/>
      <c r="AJ198" s="240"/>
      <c r="AK198" s="237"/>
      <c r="AL198" s="237"/>
      <c r="AM198" s="237"/>
      <c r="AN198" s="237"/>
      <c r="AO198" s="237"/>
      <c r="AP198" s="237"/>
    </row>
    <row r="199" spans="1:42" hidden="1">
      <c r="D199" s="454"/>
      <c r="E199" s="502"/>
      <c r="F199" s="454"/>
      <c r="G199" s="464"/>
      <c r="H199" s="464"/>
      <c r="I199" s="464"/>
      <c r="AK199" s="452"/>
      <c r="AL199" s="452"/>
      <c r="AM199" s="452"/>
      <c r="AN199" s="452"/>
      <c r="AO199" s="452"/>
      <c r="AP199" s="463">
        <v>1563570</v>
      </c>
    </row>
    <row r="200" spans="1:42">
      <c r="D200" s="454"/>
      <c r="E200" s="502"/>
      <c r="F200" s="454"/>
      <c r="G200" s="464"/>
      <c r="H200" s="464"/>
      <c r="I200" s="464"/>
      <c r="AK200" s="452"/>
      <c r="AL200" s="452"/>
      <c r="AM200" s="452"/>
      <c r="AN200" s="452"/>
      <c r="AO200" s="452"/>
      <c r="AP200" s="454"/>
    </row>
    <row r="201" spans="1:42">
      <c r="D201" s="454"/>
      <c r="E201" s="502"/>
      <c r="F201" s="454"/>
      <c r="G201" s="464"/>
      <c r="H201" s="464"/>
      <c r="I201" s="464"/>
      <c r="AK201" s="452"/>
      <c r="AL201" s="452"/>
      <c r="AM201" s="452"/>
      <c r="AN201" s="452"/>
      <c r="AO201" s="452"/>
      <c r="AP201" s="454"/>
    </row>
    <row r="202" spans="1:42">
      <c r="D202" s="454"/>
      <c r="E202" s="502"/>
      <c r="F202" s="454"/>
      <c r="G202" s="464"/>
      <c r="H202" s="464"/>
      <c r="I202" s="464"/>
      <c r="AK202" s="452"/>
      <c r="AL202" s="452"/>
      <c r="AM202" s="452"/>
      <c r="AN202" s="452"/>
      <c r="AO202" s="452"/>
      <c r="AP202" s="452"/>
    </row>
    <row r="203" spans="1:42">
      <c r="D203" s="454"/>
      <c r="E203" s="502"/>
      <c r="F203" s="454"/>
      <c r="G203" s="464"/>
      <c r="H203" s="464"/>
      <c r="I203" s="464"/>
      <c r="AK203" s="452"/>
      <c r="AL203" s="452"/>
      <c r="AM203" s="452"/>
      <c r="AN203" s="452"/>
      <c r="AO203" s="452"/>
      <c r="AP203" s="452"/>
    </row>
    <row r="204" spans="1:42">
      <c r="D204" s="454"/>
      <c r="E204" s="502"/>
      <c r="F204" s="454"/>
      <c r="G204" s="464"/>
      <c r="H204" s="464"/>
      <c r="I204" s="464"/>
      <c r="AK204" s="452"/>
      <c r="AL204" s="452"/>
      <c r="AM204" s="452"/>
      <c r="AN204" s="452"/>
      <c r="AO204" s="452"/>
      <c r="AP204" s="452"/>
    </row>
    <row r="205" spans="1:42">
      <c r="D205" s="454"/>
      <c r="E205" s="502"/>
      <c r="F205" s="454"/>
      <c r="G205" s="464"/>
      <c r="H205" s="464"/>
      <c r="I205" s="464"/>
      <c r="AK205" s="452"/>
      <c r="AL205" s="452"/>
      <c r="AM205" s="452"/>
      <c r="AN205" s="452"/>
      <c r="AO205" s="452"/>
    </row>
    <row r="206" spans="1:42">
      <c r="D206" s="454"/>
      <c r="E206" s="502"/>
      <c r="F206" s="454"/>
      <c r="G206" s="464"/>
      <c r="H206" s="464"/>
      <c r="I206" s="464"/>
      <c r="AK206" s="452"/>
      <c r="AL206" s="452"/>
      <c r="AM206" s="452"/>
      <c r="AN206" s="452"/>
      <c r="AO206" s="452"/>
      <c r="AP206" s="452"/>
    </row>
    <row r="207" spans="1:42">
      <c r="D207" s="454"/>
      <c r="E207" s="502"/>
      <c r="F207" s="454"/>
      <c r="G207" s="464"/>
      <c r="H207" s="464"/>
      <c r="I207" s="464"/>
      <c r="AK207" s="452"/>
      <c r="AL207" s="452"/>
      <c r="AM207" s="452"/>
      <c r="AN207" s="452"/>
      <c r="AO207" s="452"/>
      <c r="AP207" s="452"/>
    </row>
    <row r="208" spans="1:42">
      <c r="D208" s="454"/>
      <c r="E208" s="502"/>
      <c r="F208" s="454"/>
      <c r="G208" s="464"/>
      <c r="H208" s="464"/>
      <c r="I208" s="464"/>
      <c r="AK208" s="452"/>
      <c r="AL208" s="452"/>
      <c r="AM208" s="452"/>
      <c r="AN208" s="452"/>
      <c r="AO208" s="452"/>
      <c r="AP208" s="452"/>
    </row>
    <row r="209" spans="5:42">
      <c r="E209" s="502"/>
      <c r="F209" s="454"/>
      <c r="G209" s="464"/>
      <c r="H209" s="464"/>
      <c r="AK209" s="452"/>
      <c r="AL209" s="452"/>
      <c r="AM209" s="452"/>
      <c r="AN209" s="452"/>
      <c r="AO209" s="452"/>
      <c r="AP209" s="452"/>
    </row>
    <row r="210" spans="5:42">
      <c r="AK210" s="452"/>
      <c r="AL210" s="452"/>
      <c r="AM210" s="452"/>
      <c r="AN210" s="452"/>
      <c r="AO210" s="452"/>
      <c r="AP210" s="452"/>
    </row>
  </sheetData>
  <sheetProtection formatCells="0" formatColumns="0" formatRows="0" insertColumns="0" insertRows="0" insertHyperlinks="0" deleteColumns="0" deleteRows="0" sort="0" autoFilter="0" pivotTables="0"/>
  <autoFilter ref="A5:AP201">
    <filterColumn colId="6" showButton="0"/>
    <filterColumn colId="7" showButton="0"/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</autoFilter>
  <mergeCells count="50">
    <mergeCell ref="AL196:AN196"/>
    <mergeCell ref="J196:O196"/>
    <mergeCell ref="J197:O197"/>
    <mergeCell ref="B196:C196"/>
    <mergeCell ref="B197:C197"/>
    <mergeCell ref="W196:Z196"/>
    <mergeCell ref="AL197:AN197"/>
    <mergeCell ref="G5:I5"/>
    <mergeCell ref="AA3:AB3"/>
    <mergeCell ref="A5:A7"/>
    <mergeCell ref="B5:B7"/>
    <mergeCell ref="C5:C7"/>
    <mergeCell ref="D5:D7"/>
    <mergeCell ref="E5:E7"/>
    <mergeCell ref="F5:F7"/>
    <mergeCell ref="J5:J7"/>
    <mergeCell ref="K5:N5"/>
    <mergeCell ref="O5:U5"/>
    <mergeCell ref="P6:P7"/>
    <mergeCell ref="K6:K7"/>
    <mergeCell ref="L6:L7"/>
    <mergeCell ref="M6:M7"/>
    <mergeCell ref="N6:N7"/>
    <mergeCell ref="O6:O7"/>
    <mergeCell ref="AO5:AO7"/>
    <mergeCell ref="AP5:AP7"/>
    <mergeCell ref="V5:V7"/>
    <mergeCell ref="W5:W7"/>
    <mergeCell ref="X5:X7"/>
    <mergeCell ref="Z5:Z7"/>
    <mergeCell ref="AA5:AA7"/>
    <mergeCell ref="AB5:AB7"/>
    <mergeCell ref="AC5:AC7"/>
    <mergeCell ref="AK5:AK7"/>
    <mergeCell ref="AL5:AL7"/>
    <mergeCell ref="AM5:AM7"/>
    <mergeCell ref="AN5:AN7"/>
    <mergeCell ref="Y5:Y7"/>
    <mergeCell ref="AD5:AD7"/>
    <mergeCell ref="AE5:AE7"/>
    <mergeCell ref="AH5:AH7"/>
    <mergeCell ref="AJ5:AJ7"/>
    <mergeCell ref="Q6:Q7"/>
    <mergeCell ref="R6:R7"/>
    <mergeCell ref="S6:S7"/>
    <mergeCell ref="T6:T7"/>
    <mergeCell ref="U6:U7"/>
    <mergeCell ref="AI5:AI7"/>
    <mergeCell ref="AF5:AF7"/>
    <mergeCell ref="AG5:AG7"/>
  </mergeCells>
  <printOptions horizontalCentered="1"/>
  <pageMargins left="0" right="0" top="0" bottom="0" header="0.31496062992125984" footer="0.31496062992125984"/>
  <pageSetup paperSize="9" scale="80" fitToWidth="0" orientation="landscape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2:Q131"/>
  <sheetViews>
    <sheetView zoomScaleNormal="100" workbookViewId="0">
      <selection activeCell="D23" sqref="D23"/>
    </sheetView>
  </sheetViews>
  <sheetFormatPr defaultRowHeight="12.5"/>
  <cols>
    <col min="1" max="1" width="9" customWidth="1"/>
    <col min="2" max="2" width="21.90625" customWidth="1"/>
    <col min="3" max="3" width="14.08984375" customWidth="1"/>
    <col min="4" max="4" width="12" style="2" customWidth="1"/>
    <col min="5" max="5" width="12" customWidth="1"/>
    <col min="6" max="6" width="12" style="2" customWidth="1"/>
    <col min="7" max="7" width="12" customWidth="1"/>
    <col min="8" max="9" width="12" style="2" customWidth="1"/>
    <col min="10" max="12" width="12" customWidth="1"/>
    <col min="13" max="23" width="7.453125" customWidth="1"/>
  </cols>
  <sheetData>
    <row r="2" spans="1:17">
      <c r="C2" t="s">
        <v>70</v>
      </c>
    </row>
    <row r="3" spans="1:17" ht="13">
      <c r="I3" s="24" t="s">
        <v>79</v>
      </c>
      <c r="K3" s="1"/>
    </row>
    <row r="4" spans="1:17" ht="14.25" hidden="1" customHeight="1">
      <c r="A4" s="620" t="s">
        <v>5</v>
      </c>
      <c r="B4" s="613" t="s">
        <v>69</v>
      </c>
      <c r="C4" s="617" t="s">
        <v>71</v>
      </c>
      <c r="D4" s="332" t="s">
        <v>74</v>
      </c>
      <c r="E4" s="613" t="s">
        <v>72</v>
      </c>
      <c r="F4" s="332" t="s">
        <v>74</v>
      </c>
      <c r="G4" s="613" t="s">
        <v>73</v>
      </c>
      <c r="H4" s="332" t="s">
        <v>74</v>
      </c>
      <c r="I4" s="615" t="s">
        <v>78</v>
      </c>
      <c r="J4" s="613" t="s">
        <v>76</v>
      </c>
    </row>
    <row r="5" spans="1:17" ht="15.75" hidden="1" customHeight="1">
      <c r="A5" s="621"/>
      <c r="B5" s="614"/>
      <c r="C5" s="618"/>
      <c r="D5" s="332">
        <v>80</v>
      </c>
      <c r="E5" s="614"/>
      <c r="F5" s="332">
        <v>91</v>
      </c>
      <c r="G5" s="614"/>
      <c r="H5" s="332">
        <v>120</v>
      </c>
      <c r="I5" s="616"/>
      <c r="J5" s="614"/>
    </row>
    <row r="6" spans="1:17" hidden="1">
      <c r="A6" s="333" t="e">
        <f>#REF!</f>
        <v>#REF!</v>
      </c>
      <c r="B6" s="333" t="e">
        <f>#REF!</f>
        <v>#REF!</v>
      </c>
      <c r="C6" s="334"/>
      <c r="D6" s="335">
        <f t="shared" ref="D6:D17" si="0">C6*$D$5</f>
        <v>0</v>
      </c>
      <c r="E6" s="334"/>
      <c r="F6" s="335">
        <f t="shared" ref="F6:F17" si="1">E6*$F$5</f>
        <v>0</v>
      </c>
      <c r="G6" s="334"/>
      <c r="H6" s="335">
        <f t="shared" ref="H6:H17" si="2">G6*$H$5</f>
        <v>0</v>
      </c>
      <c r="I6" s="335">
        <f>C6+E6+G6</f>
        <v>0</v>
      </c>
      <c r="J6" s="336">
        <f>H6+F6+D6</f>
        <v>0</v>
      </c>
    </row>
    <row r="7" spans="1:17" hidden="1">
      <c r="A7" s="333" t="e">
        <f>#REF!</f>
        <v>#REF!</v>
      </c>
      <c r="B7" s="333" t="e">
        <f>#REF!</f>
        <v>#REF!</v>
      </c>
      <c r="C7" s="334"/>
      <c r="D7" s="335">
        <f t="shared" si="0"/>
        <v>0</v>
      </c>
      <c r="E7" s="334">
        <v>59</v>
      </c>
      <c r="F7" s="335">
        <f t="shared" si="1"/>
        <v>5369</v>
      </c>
      <c r="G7" s="334">
        <v>8</v>
      </c>
      <c r="H7" s="335">
        <f t="shared" si="2"/>
        <v>960</v>
      </c>
      <c r="I7" s="335">
        <f t="shared" ref="I7:I17" si="3">C7+E7+G7</f>
        <v>67</v>
      </c>
      <c r="J7" s="336">
        <f t="shared" ref="J7:J17" si="4">H7+F7+D7</f>
        <v>6329</v>
      </c>
    </row>
    <row r="8" spans="1:17" s="32" customFormat="1" hidden="1">
      <c r="A8" s="228" t="e">
        <f>#REF!</f>
        <v>#REF!</v>
      </c>
      <c r="B8" s="228" t="e">
        <f>#REF!</f>
        <v>#REF!</v>
      </c>
      <c r="C8" s="334"/>
      <c r="D8" s="337">
        <f t="shared" si="0"/>
        <v>0</v>
      </c>
      <c r="E8" s="334"/>
      <c r="F8" s="337">
        <f t="shared" si="1"/>
        <v>0</v>
      </c>
      <c r="G8" s="334"/>
      <c r="H8" s="337">
        <f t="shared" si="2"/>
        <v>0</v>
      </c>
      <c r="I8" s="337">
        <f t="shared" si="3"/>
        <v>0</v>
      </c>
      <c r="J8" s="338">
        <f t="shared" si="4"/>
        <v>0</v>
      </c>
    </row>
    <row r="9" spans="1:17" s="164" customFormat="1" hidden="1">
      <c r="A9" s="339" t="e">
        <f>#REF!</f>
        <v>#REF!</v>
      </c>
      <c r="B9" s="339" t="e">
        <f>#REF!</f>
        <v>#REF!</v>
      </c>
      <c r="C9" s="340"/>
      <c r="D9" s="341">
        <f t="shared" si="0"/>
        <v>0</v>
      </c>
      <c r="E9" s="340">
        <v>50</v>
      </c>
      <c r="F9" s="341">
        <f t="shared" si="1"/>
        <v>4550</v>
      </c>
      <c r="G9" s="340">
        <v>4</v>
      </c>
      <c r="H9" s="341">
        <f t="shared" si="2"/>
        <v>480</v>
      </c>
      <c r="I9" s="341">
        <f t="shared" si="3"/>
        <v>54</v>
      </c>
      <c r="J9" s="342">
        <f t="shared" si="4"/>
        <v>5030</v>
      </c>
    </row>
    <row r="10" spans="1:17" s="164" customFormat="1" hidden="1">
      <c r="A10" s="339" t="e">
        <f>#REF!</f>
        <v>#REF!</v>
      </c>
      <c r="B10" s="339" t="e">
        <f>#REF!</f>
        <v>#REF!</v>
      </c>
      <c r="C10" s="340"/>
      <c r="D10" s="341">
        <f t="shared" si="0"/>
        <v>0</v>
      </c>
      <c r="E10" s="340">
        <v>49</v>
      </c>
      <c r="F10" s="341">
        <f t="shared" si="1"/>
        <v>4459</v>
      </c>
      <c r="G10" s="340">
        <v>8</v>
      </c>
      <c r="H10" s="341">
        <f t="shared" si="2"/>
        <v>960</v>
      </c>
      <c r="I10" s="341">
        <f t="shared" si="3"/>
        <v>57</v>
      </c>
      <c r="J10" s="342">
        <f t="shared" si="4"/>
        <v>5419</v>
      </c>
    </row>
    <row r="11" spans="1:17" s="18" customFormat="1" hidden="1">
      <c r="A11" s="343" t="e">
        <f>#REF!</f>
        <v>#REF!</v>
      </c>
      <c r="B11" s="343" t="e">
        <f>#REF!</f>
        <v>#REF!</v>
      </c>
      <c r="C11" s="344"/>
      <c r="D11" s="335">
        <f t="shared" si="0"/>
        <v>0</v>
      </c>
      <c r="E11" s="344">
        <v>50</v>
      </c>
      <c r="F11" s="335">
        <f t="shared" si="1"/>
        <v>4550</v>
      </c>
      <c r="G11" s="344">
        <v>8</v>
      </c>
      <c r="H11" s="335">
        <f t="shared" si="2"/>
        <v>960</v>
      </c>
      <c r="I11" s="335">
        <f t="shared" si="3"/>
        <v>58</v>
      </c>
      <c r="J11" s="345">
        <f t="shared" si="4"/>
        <v>5510</v>
      </c>
    </row>
    <row r="12" spans="1:17" s="18" customFormat="1" hidden="1">
      <c r="A12" s="343" t="e">
        <f>#REF!</f>
        <v>#REF!</v>
      </c>
      <c r="B12" s="343" t="e">
        <f>#REF!</f>
        <v>#REF!</v>
      </c>
      <c r="C12" s="344">
        <v>4</v>
      </c>
      <c r="D12" s="335">
        <f t="shared" si="0"/>
        <v>320</v>
      </c>
      <c r="E12" s="344">
        <v>11</v>
      </c>
      <c r="F12" s="335">
        <f t="shared" si="1"/>
        <v>1001</v>
      </c>
      <c r="G12" s="344"/>
      <c r="H12" s="335">
        <f t="shared" si="2"/>
        <v>0</v>
      </c>
      <c r="I12" s="335">
        <f t="shared" si="3"/>
        <v>15</v>
      </c>
      <c r="J12" s="345">
        <f t="shared" si="4"/>
        <v>1321</v>
      </c>
    </row>
    <row r="13" spans="1:17" s="18" customFormat="1" hidden="1">
      <c r="A13" s="343" t="e">
        <f>#REF!</f>
        <v>#REF!</v>
      </c>
      <c r="B13" s="343" t="e">
        <f>#REF!</f>
        <v>#REF!</v>
      </c>
      <c r="C13" s="344"/>
      <c r="D13" s="335">
        <f t="shared" si="0"/>
        <v>0</v>
      </c>
      <c r="E13" s="344">
        <v>48</v>
      </c>
      <c r="F13" s="335">
        <f t="shared" si="1"/>
        <v>4368</v>
      </c>
      <c r="G13" s="344">
        <v>6</v>
      </c>
      <c r="H13" s="335">
        <f t="shared" si="2"/>
        <v>720</v>
      </c>
      <c r="I13" s="335">
        <f t="shared" si="3"/>
        <v>54</v>
      </c>
      <c r="J13" s="345">
        <f t="shared" si="4"/>
        <v>5088</v>
      </c>
      <c r="L13" s="18" t="s">
        <v>192</v>
      </c>
    </row>
    <row r="14" spans="1:17" s="32" customFormat="1" hidden="1">
      <c r="A14" s="228" t="e">
        <f>#REF!</f>
        <v>#REF!</v>
      </c>
      <c r="B14" s="228" t="e">
        <f>#REF!</f>
        <v>#REF!</v>
      </c>
      <c r="C14" s="334"/>
      <c r="D14" s="337">
        <f t="shared" si="0"/>
        <v>0</v>
      </c>
      <c r="E14" s="334">
        <v>18</v>
      </c>
      <c r="F14" s="337">
        <f t="shared" si="1"/>
        <v>1638</v>
      </c>
      <c r="G14" s="334">
        <v>1</v>
      </c>
      <c r="H14" s="337">
        <f t="shared" si="2"/>
        <v>120</v>
      </c>
      <c r="I14" s="337">
        <f t="shared" si="3"/>
        <v>19</v>
      </c>
      <c r="J14" s="338">
        <f t="shared" si="4"/>
        <v>1758</v>
      </c>
    </row>
    <row r="15" spans="1:17" s="32" customFormat="1" hidden="1">
      <c r="A15" s="228" t="e">
        <f>#REF!</f>
        <v>#REF!</v>
      </c>
      <c r="B15" s="228" t="e">
        <f>#REF!</f>
        <v>#REF!</v>
      </c>
      <c r="C15" s="334">
        <v>48</v>
      </c>
      <c r="D15" s="337">
        <f t="shared" si="0"/>
        <v>3840</v>
      </c>
      <c r="E15" s="334"/>
      <c r="F15" s="337">
        <f t="shared" si="1"/>
        <v>0</v>
      </c>
      <c r="G15" s="334">
        <v>4</v>
      </c>
      <c r="H15" s="337">
        <f t="shared" si="2"/>
        <v>480</v>
      </c>
      <c r="I15" s="337">
        <f t="shared" si="3"/>
        <v>52</v>
      </c>
      <c r="J15" s="338">
        <f t="shared" si="4"/>
        <v>4320</v>
      </c>
    </row>
    <row r="16" spans="1:17" s="32" customFormat="1" hidden="1">
      <c r="A16" s="343" t="e">
        <f>#REF!</f>
        <v>#REF!</v>
      </c>
      <c r="B16" s="343" t="e">
        <f>#REF!</f>
        <v>#REF!</v>
      </c>
      <c r="C16" s="334"/>
      <c r="D16" s="335">
        <f t="shared" si="0"/>
        <v>0</v>
      </c>
      <c r="E16" s="344">
        <v>24</v>
      </c>
      <c r="F16" s="335">
        <f t="shared" si="1"/>
        <v>2184</v>
      </c>
      <c r="G16" s="334"/>
      <c r="H16" s="335">
        <f t="shared" si="2"/>
        <v>0</v>
      </c>
      <c r="I16" s="335">
        <f t="shared" si="3"/>
        <v>24</v>
      </c>
      <c r="J16" s="336">
        <f t="shared" si="4"/>
        <v>2184</v>
      </c>
      <c r="O16" s="32" t="s">
        <v>221</v>
      </c>
      <c r="Q16" s="32" t="s">
        <v>222</v>
      </c>
    </row>
    <row r="17" spans="1:12" s="32" customFormat="1" hidden="1">
      <c r="A17" s="343" t="e">
        <f>A66</f>
        <v>#REF!</v>
      </c>
      <c r="B17" s="343" t="e">
        <f>B66</f>
        <v>#REF!</v>
      </c>
      <c r="C17" s="334"/>
      <c r="D17" s="335">
        <f t="shared" si="0"/>
        <v>0</v>
      </c>
      <c r="E17" s="344">
        <v>54</v>
      </c>
      <c r="F17" s="335">
        <f t="shared" si="1"/>
        <v>4914</v>
      </c>
      <c r="G17" s="334">
        <v>5</v>
      </c>
      <c r="H17" s="335">
        <f t="shared" si="2"/>
        <v>600</v>
      </c>
      <c r="I17" s="335">
        <f t="shared" si="3"/>
        <v>59</v>
      </c>
      <c r="J17" s="336">
        <f t="shared" si="4"/>
        <v>5514</v>
      </c>
    </row>
    <row r="19" spans="1:12" ht="13">
      <c r="A19" s="612" t="s">
        <v>5</v>
      </c>
      <c r="B19" s="613" t="s">
        <v>68</v>
      </c>
      <c r="C19" s="613" t="s">
        <v>225</v>
      </c>
      <c r="D19" s="332" t="s">
        <v>622</v>
      </c>
      <c r="E19" s="332" t="s">
        <v>626</v>
      </c>
      <c r="F19" s="332" t="s">
        <v>627</v>
      </c>
      <c r="G19" s="346"/>
      <c r="H19" s="332" t="s">
        <v>80</v>
      </c>
      <c r="I19" s="332" t="s">
        <v>81</v>
      </c>
      <c r="J19" s="332" t="s">
        <v>82</v>
      </c>
      <c r="K19" s="346"/>
      <c r="L19" s="332" t="s">
        <v>7</v>
      </c>
    </row>
    <row r="20" spans="1:12" ht="13">
      <c r="A20" s="612"/>
      <c r="B20" s="614"/>
      <c r="C20" s="614"/>
      <c r="D20" s="332">
        <v>765000</v>
      </c>
      <c r="E20" s="332">
        <v>990000</v>
      </c>
      <c r="F20" s="347">
        <v>1080000</v>
      </c>
      <c r="G20" s="346"/>
      <c r="H20" s="332">
        <v>2000</v>
      </c>
      <c r="I20" s="332">
        <v>3000</v>
      </c>
      <c r="J20" s="347">
        <v>1700</v>
      </c>
      <c r="K20" s="346"/>
      <c r="L20" s="348"/>
    </row>
    <row r="21" spans="1:12" s="32" customFormat="1" ht="13">
      <c r="A21" s="349"/>
      <c r="B21" s="143"/>
      <c r="C21" s="613" t="s">
        <v>226</v>
      </c>
      <c r="D21" s="350" t="s">
        <v>623</v>
      </c>
      <c r="E21" s="350" t="s">
        <v>624</v>
      </c>
      <c r="F21" s="350" t="s">
        <v>625</v>
      </c>
      <c r="G21" s="346"/>
      <c r="H21" s="350" t="s">
        <v>80</v>
      </c>
      <c r="I21" s="350" t="s">
        <v>81</v>
      </c>
      <c r="J21" s="350" t="s">
        <v>82</v>
      </c>
      <c r="K21" s="346"/>
      <c r="L21" s="350" t="s">
        <v>7</v>
      </c>
    </row>
    <row r="22" spans="1:12" s="32" customFormat="1" ht="13">
      <c r="A22" s="349"/>
      <c r="B22" s="143"/>
      <c r="C22" s="614"/>
      <c r="D22" s="350">
        <v>495000</v>
      </c>
      <c r="E22" s="350">
        <v>585000</v>
      </c>
      <c r="F22" s="351">
        <v>675000</v>
      </c>
      <c r="G22" s="346"/>
      <c r="H22" s="350">
        <v>2000</v>
      </c>
      <c r="I22" s="350">
        <v>3000</v>
      </c>
      <c r="J22" s="350">
        <v>1700</v>
      </c>
      <c r="K22" s="346"/>
      <c r="L22" s="349"/>
    </row>
    <row r="23" spans="1:12" ht="13">
      <c r="A23" s="232" t="s">
        <v>357</v>
      </c>
      <c r="B23" s="232" t="s">
        <v>434</v>
      </c>
      <c r="C23" s="352">
        <v>0</v>
      </c>
      <c r="D23" s="341">
        <f>IF(C23&lt;$D$20,0,$D$20)</f>
        <v>0</v>
      </c>
      <c r="E23" s="342">
        <f t="shared" ref="E23:E28" si="5">IF(C23&lt;$D$20,0,IF(AND(C23&gt;$D$20,C23&lt;$E$20),C23-$D$20,IF(C23&lt;=$D$20,0,$E$20-$D$20)))</f>
        <v>0</v>
      </c>
      <c r="F23" s="342">
        <f t="shared" ref="F23:F28" si="6">IF(AND(C23&lt;$D$20,C23&lt;$E$20,C23&lt;$F$20),0,IF((C23-D23-E23)&gt;=($F$20-$E$20),$F$20-$E$20,C23-D23-E23))</f>
        <v>0</v>
      </c>
      <c r="G23" s="346"/>
      <c r="H23" s="335">
        <f t="shared" ref="H23:H28" si="7">IF(D23=$D$20,$H$20,0)</f>
        <v>0</v>
      </c>
      <c r="I23" s="335">
        <f t="shared" ref="I23:I28" si="8">$E23*$I$20/($E$20-$D$20)</f>
        <v>0</v>
      </c>
      <c r="J23" s="335">
        <f t="shared" ref="J23:J28" si="9">$F23*$J$20/($F$20-$E$20)</f>
        <v>0</v>
      </c>
      <c r="K23" s="346"/>
      <c r="L23" s="353">
        <f t="shared" ref="L23:L33" si="10">H23+I23+J23+K23</f>
        <v>0</v>
      </c>
    </row>
    <row r="24" spans="1:12" ht="13">
      <c r="A24" s="232" t="s">
        <v>358</v>
      </c>
      <c r="B24" s="232"/>
      <c r="C24" s="352"/>
      <c r="D24" s="341">
        <f t="shared" ref="D24:D32" si="11">IF(C24&lt;$D$20,0,$D$20)</f>
        <v>0</v>
      </c>
      <c r="E24" s="342">
        <f t="shared" si="5"/>
        <v>0</v>
      </c>
      <c r="F24" s="342">
        <f t="shared" si="6"/>
        <v>0</v>
      </c>
      <c r="G24" s="346"/>
      <c r="H24" s="335">
        <f t="shared" si="7"/>
        <v>0</v>
      </c>
      <c r="I24" s="335">
        <f t="shared" si="8"/>
        <v>0</v>
      </c>
      <c r="J24" s="335">
        <f t="shared" si="9"/>
        <v>0</v>
      </c>
      <c r="K24" s="346"/>
      <c r="L24" s="353">
        <f t="shared" si="10"/>
        <v>0</v>
      </c>
    </row>
    <row r="25" spans="1:12" s="32" customFormat="1" ht="13">
      <c r="A25" s="232" t="s">
        <v>360</v>
      </c>
      <c r="B25" s="232"/>
      <c r="C25" s="352"/>
      <c r="D25" s="341">
        <f t="shared" si="11"/>
        <v>0</v>
      </c>
      <c r="E25" s="342">
        <f t="shared" si="5"/>
        <v>0</v>
      </c>
      <c r="F25" s="342">
        <f t="shared" si="6"/>
        <v>0</v>
      </c>
      <c r="G25" s="346"/>
      <c r="H25" s="335">
        <f t="shared" si="7"/>
        <v>0</v>
      </c>
      <c r="I25" s="335">
        <f t="shared" si="8"/>
        <v>0</v>
      </c>
      <c r="J25" s="335">
        <f t="shared" si="9"/>
        <v>0</v>
      </c>
      <c r="K25" s="346"/>
      <c r="L25" s="353">
        <f t="shared" si="10"/>
        <v>0</v>
      </c>
    </row>
    <row r="26" spans="1:12" s="505" customFormat="1" ht="13">
      <c r="A26" s="448" t="s">
        <v>361</v>
      </c>
      <c r="B26" s="448" t="s">
        <v>436</v>
      </c>
      <c r="C26" s="352"/>
      <c r="D26" s="341">
        <f t="shared" si="11"/>
        <v>0</v>
      </c>
      <c r="E26" s="342">
        <f t="shared" si="5"/>
        <v>0</v>
      </c>
      <c r="F26" s="342">
        <f t="shared" si="6"/>
        <v>0</v>
      </c>
      <c r="G26" s="346"/>
      <c r="H26" s="335">
        <f t="shared" si="7"/>
        <v>0</v>
      </c>
      <c r="I26" s="335">
        <f t="shared" si="8"/>
        <v>0</v>
      </c>
      <c r="J26" s="335">
        <f t="shared" si="9"/>
        <v>0</v>
      </c>
      <c r="K26" s="346"/>
      <c r="L26" s="353">
        <f t="shared" si="10"/>
        <v>0</v>
      </c>
    </row>
    <row r="27" spans="1:12" ht="13">
      <c r="A27" s="232" t="s">
        <v>362</v>
      </c>
      <c r="B27" s="232" t="s">
        <v>437</v>
      </c>
      <c r="C27" s="352"/>
      <c r="D27" s="341">
        <f t="shared" si="11"/>
        <v>0</v>
      </c>
      <c r="E27" s="342">
        <f t="shared" si="5"/>
        <v>0</v>
      </c>
      <c r="F27" s="342">
        <f t="shared" si="6"/>
        <v>0</v>
      </c>
      <c r="G27" s="346"/>
      <c r="H27" s="335">
        <f t="shared" si="7"/>
        <v>0</v>
      </c>
      <c r="I27" s="335">
        <f t="shared" si="8"/>
        <v>0</v>
      </c>
      <c r="J27" s="335">
        <f t="shared" si="9"/>
        <v>0</v>
      </c>
      <c r="K27" s="346"/>
      <c r="L27" s="353">
        <f t="shared" si="10"/>
        <v>0</v>
      </c>
    </row>
    <row r="28" spans="1:12" ht="13">
      <c r="A28" s="232" t="s">
        <v>363</v>
      </c>
      <c r="B28" s="232" t="s">
        <v>438</v>
      </c>
      <c r="C28" s="352">
        <v>0</v>
      </c>
      <c r="D28" s="341">
        <f t="shared" si="11"/>
        <v>0</v>
      </c>
      <c r="E28" s="342">
        <f t="shared" si="5"/>
        <v>0</v>
      </c>
      <c r="F28" s="342">
        <f t="shared" si="6"/>
        <v>0</v>
      </c>
      <c r="G28" s="346"/>
      <c r="H28" s="335">
        <f t="shared" si="7"/>
        <v>0</v>
      </c>
      <c r="I28" s="335">
        <f t="shared" si="8"/>
        <v>0</v>
      </c>
      <c r="J28" s="335">
        <f t="shared" si="9"/>
        <v>0</v>
      </c>
      <c r="K28" s="346"/>
      <c r="L28" s="353">
        <f t="shared" si="10"/>
        <v>0</v>
      </c>
    </row>
    <row r="29" spans="1:12">
      <c r="D29" s="335">
        <f t="shared" si="11"/>
        <v>0</v>
      </c>
      <c r="E29" s="336">
        <f>IF(AND(C29&gt;$D$20,C29&lt;$E$20),C29-$D$20,IF(C29&lt;=$D$20,0,$E$20-$D$20))</f>
        <v>0</v>
      </c>
      <c r="F29" s="336">
        <f>IF(AND(C29&gt;$E$20,E29&lt;$F$20),C29-$E$20,IF(E29&lt;=$E$20,0,$F$20-$E$20))</f>
        <v>0</v>
      </c>
      <c r="L29" s="353">
        <f t="shared" si="10"/>
        <v>0</v>
      </c>
    </row>
    <row r="30" spans="1:12" ht="13" hidden="1">
      <c r="A30" s="612" t="s">
        <v>5</v>
      </c>
      <c r="B30" s="613" t="s">
        <v>93</v>
      </c>
      <c r="C30" s="613" t="s">
        <v>77</v>
      </c>
      <c r="D30" s="335">
        <f t="shared" si="11"/>
        <v>765000</v>
      </c>
      <c r="E30" s="336">
        <f>IF(AND(C30&gt;$D$20,C30&lt;$E$20),C30-$D$20,IF(C30&lt;=$D$20,0,$E$20-$D$20))</f>
        <v>225000</v>
      </c>
      <c r="F30" s="336" t="e">
        <f>IF(AND(C30&gt;$E$20,E30&lt;$F$20),C30-$E$20,IF(E30&lt;=$E$20,0,$F$20-$E$20))</f>
        <v>#VALUE!</v>
      </c>
      <c r="G30" s="348" t="s">
        <v>75</v>
      </c>
      <c r="H30" s="332" t="s">
        <v>7</v>
      </c>
      <c r="I30" s="332"/>
      <c r="J30" s="332"/>
      <c r="K30" s="332"/>
      <c r="L30" s="353" t="e">
        <f t="shared" si="10"/>
        <v>#VALUE!</v>
      </c>
    </row>
    <row r="31" spans="1:12" ht="13" hidden="1">
      <c r="A31" s="612"/>
      <c r="B31" s="614"/>
      <c r="C31" s="614"/>
      <c r="D31" s="335">
        <f t="shared" si="11"/>
        <v>0</v>
      </c>
      <c r="E31" s="336">
        <f>IF(AND(C31&gt;$D$20,C31&lt;$E$20),C31-$D$20,IF(C31&lt;=$D$20,0,$E$20-$D$20))</f>
        <v>0</v>
      </c>
      <c r="F31" s="336">
        <f>IF(AND(C31&gt;$E$20,E31&lt;$F$20),C31-$E$20,IF(E31&lt;=$E$20,0,$F$20-$E$20))</f>
        <v>0</v>
      </c>
      <c r="G31" s="348">
        <v>30</v>
      </c>
      <c r="H31" s="332"/>
      <c r="I31" s="332"/>
      <c r="J31" s="332"/>
      <c r="K31" s="332"/>
      <c r="L31" s="353">
        <f t="shared" si="10"/>
        <v>0</v>
      </c>
    </row>
    <row r="32" spans="1:12" hidden="1">
      <c r="A32" s="333" t="e">
        <f>#REF!</f>
        <v>#REF!</v>
      </c>
      <c r="B32" s="333" t="e">
        <f>#REF!</f>
        <v>#REF!</v>
      </c>
      <c r="C32" s="352">
        <v>459</v>
      </c>
      <c r="D32" s="335">
        <f t="shared" si="11"/>
        <v>0</v>
      </c>
      <c r="E32" s="336">
        <f>IF(AND(C32&gt;$D$20,C32&lt;$E$20),C32-$D$20,IF(C32&lt;=$D$20,0,$E$20-$D$20))</f>
        <v>0</v>
      </c>
      <c r="F32" s="336">
        <f>IF(AND(C32&gt;$E$20,E32&lt;$F$20),C32-$E$20,IF(E32&lt;=$E$20,0,$F$20-$E$20))</f>
        <v>0</v>
      </c>
      <c r="G32" s="354">
        <f>F32*G31</f>
        <v>0</v>
      </c>
      <c r="H32" s="335">
        <f>E32+G32</f>
        <v>0</v>
      </c>
      <c r="I32" s="335"/>
      <c r="J32" s="335"/>
      <c r="K32" s="335"/>
      <c r="L32" s="353">
        <f t="shared" si="10"/>
        <v>0</v>
      </c>
    </row>
    <row r="33" spans="1:12" ht="14.25" customHeight="1">
      <c r="L33" s="353">
        <f t="shared" si="10"/>
        <v>0</v>
      </c>
    </row>
    <row r="34" spans="1:12" ht="13">
      <c r="A34" s="612" t="s">
        <v>5</v>
      </c>
      <c r="B34" s="613" t="s">
        <v>161</v>
      </c>
      <c r="C34" s="613" t="s">
        <v>77</v>
      </c>
      <c r="D34" s="332" t="s">
        <v>616</v>
      </c>
      <c r="E34" s="332" t="s">
        <v>617</v>
      </c>
      <c r="F34" s="346"/>
      <c r="G34" s="346"/>
      <c r="H34" s="332" t="s">
        <v>80</v>
      </c>
      <c r="I34" s="332" t="s">
        <v>81</v>
      </c>
      <c r="J34" s="346"/>
      <c r="K34" s="346"/>
      <c r="L34" s="332" t="s">
        <v>7</v>
      </c>
    </row>
    <row r="35" spans="1:12" ht="13">
      <c r="A35" s="612"/>
      <c r="B35" s="614"/>
      <c r="C35" s="614"/>
      <c r="D35" s="332">
        <v>2295000</v>
      </c>
      <c r="E35" s="332">
        <v>2970000</v>
      </c>
      <c r="F35" s="346"/>
      <c r="G35" s="346"/>
      <c r="H35" s="332">
        <v>2000</v>
      </c>
      <c r="I35" s="332">
        <v>4000</v>
      </c>
      <c r="J35" s="346"/>
      <c r="K35" s="346"/>
      <c r="L35" s="348"/>
    </row>
    <row r="36" spans="1:12" ht="13">
      <c r="A36" s="232" t="s">
        <v>359</v>
      </c>
      <c r="B36" s="232" t="s">
        <v>435</v>
      </c>
      <c r="C36" s="355">
        <v>0</v>
      </c>
      <c r="D36" s="356">
        <f>IF(C36&lt;$D$35,0,$D$35)</f>
        <v>0</v>
      </c>
      <c r="E36" s="357">
        <f>IF(AND(C36&lt;$D$35,C36&lt;$E$35),0,IF((C36-D36)&gt;$E$35-$D$35,E35-D35,(C36-D36)))</f>
        <v>0</v>
      </c>
      <c r="F36" s="346"/>
      <c r="G36" s="346"/>
      <c r="H36" s="358">
        <f>D36*H35/D35</f>
        <v>0</v>
      </c>
      <c r="I36" s="358">
        <f>E36*$I$35/($E$35-$D$35)</f>
        <v>0</v>
      </c>
      <c r="J36" s="346"/>
      <c r="K36" s="346"/>
      <c r="L36" s="359">
        <f>H36+I36+J36+K36</f>
        <v>0</v>
      </c>
    </row>
    <row r="37" spans="1:12">
      <c r="A37" s="360"/>
      <c r="B37" s="361"/>
      <c r="C37" s="362"/>
      <c r="D37" s="362"/>
      <c r="E37" s="363"/>
      <c r="F37" s="363"/>
      <c r="G37" s="363"/>
      <c r="H37" s="364"/>
      <c r="I37" s="362"/>
      <c r="J37" s="363"/>
      <c r="K37" s="363"/>
      <c r="L37" s="365"/>
    </row>
    <row r="38" spans="1:12" ht="13">
      <c r="A38" s="612" t="s">
        <v>5</v>
      </c>
      <c r="B38" s="619" t="s">
        <v>162</v>
      </c>
      <c r="C38" s="619" t="s">
        <v>77</v>
      </c>
      <c r="D38" s="392" t="s">
        <v>618</v>
      </c>
      <c r="E38" s="392" t="s">
        <v>619</v>
      </c>
      <c r="F38" s="346"/>
      <c r="G38" s="346"/>
      <c r="H38" s="318" t="s">
        <v>80</v>
      </c>
      <c r="I38" s="318" t="s">
        <v>81</v>
      </c>
      <c r="J38" s="346"/>
      <c r="K38" s="346"/>
      <c r="L38" s="318" t="s">
        <v>7</v>
      </c>
    </row>
    <row r="39" spans="1:12" ht="13">
      <c r="A39" s="612"/>
      <c r="B39" s="614"/>
      <c r="C39" s="614"/>
      <c r="D39" s="332">
        <v>1350000</v>
      </c>
      <c r="E39" s="332">
        <v>1750000</v>
      </c>
      <c r="F39" s="346"/>
      <c r="G39" s="346"/>
      <c r="H39" s="332">
        <v>2000</v>
      </c>
      <c r="I39" s="332">
        <v>4000</v>
      </c>
      <c r="J39" s="346"/>
      <c r="K39" s="346"/>
      <c r="L39" s="348"/>
    </row>
    <row r="40" spans="1:12" ht="13">
      <c r="A40" s="232" t="s">
        <v>356</v>
      </c>
      <c r="B40" s="232" t="s">
        <v>433</v>
      </c>
      <c r="C40" s="355">
        <v>0</v>
      </c>
      <c r="D40" s="356">
        <f>IF(C40&lt;$D$39,0,$D$39)</f>
        <v>0</v>
      </c>
      <c r="E40" s="357">
        <f>IF(AND(C40&lt;$D$39,C40&lt;$E$39),0,IF((C40-D40)&gt;$E$39-$D$39,E39-D39,(C40-D40)))</f>
        <v>0</v>
      </c>
      <c r="F40" s="346"/>
      <c r="G40" s="346"/>
      <c r="H40" s="358">
        <f>D40*H39/D39</f>
        <v>0</v>
      </c>
      <c r="I40" s="358">
        <f>E40*I39/(E39-D39)</f>
        <v>0</v>
      </c>
      <c r="J40" s="346"/>
      <c r="K40" s="346"/>
      <c r="L40" s="359">
        <f>H40+I40+J40+K40</f>
        <v>0</v>
      </c>
    </row>
    <row r="41" spans="1:12" ht="13">
      <c r="A41" s="360"/>
      <c r="B41" s="361"/>
      <c r="C41" s="366"/>
      <c r="D41" s="362"/>
      <c r="E41" s="363"/>
      <c r="F41" s="363"/>
      <c r="G41" s="363"/>
      <c r="H41" s="364"/>
      <c r="I41" s="362"/>
      <c r="J41" s="363"/>
      <c r="K41" s="363"/>
      <c r="L41" s="365"/>
    </row>
    <row r="42" spans="1:12" ht="13">
      <c r="A42" s="612" t="s">
        <v>5</v>
      </c>
      <c r="B42" s="619" t="s">
        <v>91</v>
      </c>
      <c r="C42" s="619" t="s">
        <v>77</v>
      </c>
      <c r="D42" s="392" t="s">
        <v>620</v>
      </c>
      <c r="E42" s="392" t="s">
        <v>621</v>
      </c>
      <c r="F42" s="346"/>
      <c r="G42" s="346"/>
      <c r="H42" s="318" t="s">
        <v>80</v>
      </c>
      <c r="I42" s="318" t="s">
        <v>81</v>
      </c>
      <c r="J42" s="346"/>
      <c r="K42" s="346"/>
      <c r="L42" s="318" t="s">
        <v>7</v>
      </c>
    </row>
    <row r="43" spans="1:12" ht="13">
      <c r="A43" s="612"/>
      <c r="B43" s="614"/>
      <c r="C43" s="614"/>
      <c r="D43" s="332">
        <v>3645000</v>
      </c>
      <c r="E43" s="332">
        <v>4725000</v>
      </c>
      <c r="F43" s="346"/>
      <c r="G43" s="346"/>
      <c r="H43" s="332">
        <v>1000</v>
      </c>
      <c r="I43" s="332">
        <v>3000</v>
      </c>
      <c r="J43" s="346"/>
      <c r="K43" s="346"/>
      <c r="L43" s="348"/>
    </row>
    <row r="44" spans="1:12" ht="13">
      <c r="A44" s="232" t="s">
        <v>343</v>
      </c>
      <c r="B44" s="232" t="s">
        <v>423</v>
      </c>
      <c r="C44" s="352">
        <f>C40+C36</f>
        <v>0</v>
      </c>
      <c r="D44" s="341">
        <f>IF(C44&lt;$D$43,0,$D$43)</f>
        <v>0</v>
      </c>
      <c r="E44" s="342">
        <f>IF(AND(C44&lt;$D$43,C44&lt;$E$43),0,IF((C44-D44)&gt;($E$43-$D$43),$E$43-$D$43,(C44-D44)))</f>
        <v>0</v>
      </c>
      <c r="F44" s="346"/>
      <c r="G44" s="346"/>
      <c r="H44" s="335">
        <f>D44*$H$43/$D$43</f>
        <v>0</v>
      </c>
      <c r="I44" s="335">
        <f>E44*$I$43/($E$43-$D$43)</f>
        <v>0</v>
      </c>
      <c r="J44" s="346"/>
      <c r="K44" s="346"/>
      <c r="L44" s="353">
        <f>H44+I44+J44+K44</f>
        <v>0</v>
      </c>
    </row>
    <row r="46" spans="1:12" ht="13" hidden="1">
      <c r="A46" s="612" t="s">
        <v>5</v>
      </c>
      <c r="B46" s="613" t="s">
        <v>92</v>
      </c>
      <c r="C46" s="613" t="s">
        <v>77</v>
      </c>
      <c r="D46" s="332" t="s">
        <v>83</v>
      </c>
      <c r="E46" s="332" t="s">
        <v>84</v>
      </c>
      <c r="F46" s="332" t="s">
        <v>85</v>
      </c>
      <c r="G46" s="346"/>
      <c r="H46" s="332" t="s">
        <v>80</v>
      </c>
      <c r="I46" s="332" t="s">
        <v>81</v>
      </c>
      <c r="J46" s="332" t="s">
        <v>82</v>
      </c>
      <c r="K46" s="346"/>
      <c r="L46" s="332" t="s">
        <v>7</v>
      </c>
    </row>
    <row r="47" spans="1:12" ht="13" hidden="1">
      <c r="A47" s="612"/>
      <c r="B47" s="614"/>
      <c r="C47" s="614"/>
      <c r="D47" s="332">
        <v>1700000</v>
      </c>
      <c r="E47" s="332">
        <v>700000</v>
      </c>
      <c r="F47" s="332">
        <v>700000</v>
      </c>
      <c r="G47" s="346"/>
      <c r="H47" s="332">
        <v>2000</v>
      </c>
      <c r="I47" s="332">
        <v>1000</v>
      </c>
      <c r="J47" s="332">
        <v>1500</v>
      </c>
      <c r="K47" s="346"/>
      <c r="L47" s="348"/>
    </row>
    <row r="48" spans="1:12" hidden="1">
      <c r="A48" s="333" t="e">
        <f>#REF!</f>
        <v>#REF!</v>
      </c>
      <c r="B48" s="333" t="e">
        <f>#REF!</f>
        <v>#REF!</v>
      </c>
      <c r="C48" s="367">
        <f>SUM(D52:E102)</f>
        <v>3267074</v>
      </c>
      <c r="D48" s="335">
        <f>IF((C48-$D$47)&lt;0,C48,D47)</f>
        <v>1700000</v>
      </c>
      <c r="E48" s="336">
        <f>IF((C48-D48)&gt;E47,E47,(C48-D48))</f>
        <v>700000</v>
      </c>
      <c r="F48" s="336">
        <f>IF((C48-D48-E48)&gt;$F$47,$F$47,(C48-D48-E48))</f>
        <v>700000</v>
      </c>
      <c r="G48" s="368"/>
      <c r="H48" s="335">
        <f>D48*H47/D47</f>
        <v>2000</v>
      </c>
      <c r="I48" s="335">
        <f>E48*I47/E47</f>
        <v>1000</v>
      </c>
      <c r="J48" s="335">
        <f>F48*J47/F47</f>
        <v>1500</v>
      </c>
      <c r="K48" s="369"/>
      <c r="L48" s="353">
        <f>H48+I48+J48+K48</f>
        <v>4500</v>
      </c>
    </row>
    <row r="49" spans="1:10" hidden="1"/>
    <row r="50" spans="1:10" s="1" customFormat="1" ht="14.25" hidden="1" customHeight="1">
      <c r="A50" s="613" t="s">
        <v>5</v>
      </c>
      <c r="B50" s="613" t="s">
        <v>88</v>
      </c>
      <c r="C50" s="613" t="s">
        <v>77</v>
      </c>
      <c r="D50" s="615" t="s">
        <v>86</v>
      </c>
      <c r="E50" s="613" t="s">
        <v>87</v>
      </c>
      <c r="F50" s="370" t="s">
        <v>89</v>
      </c>
      <c r="G50" s="371" t="s">
        <v>90</v>
      </c>
      <c r="H50" s="615" t="s">
        <v>7</v>
      </c>
      <c r="I50" s="622" t="s">
        <v>210</v>
      </c>
      <c r="J50" s="229" t="s">
        <v>211</v>
      </c>
    </row>
    <row r="51" spans="1:10" s="1" customFormat="1" ht="14.25" hidden="1" customHeight="1">
      <c r="A51" s="614"/>
      <c r="B51" s="614"/>
      <c r="C51" s="614"/>
      <c r="D51" s="616"/>
      <c r="E51" s="614"/>
      <c r="F51" s="372">
        <v>1.2E-2</v>
      </c>
      <c r="G51" s="373">
        <v>3.3E-3</v>
      </c>
      <c r="H51" s="616"/>
      <c r="I51" s="622"/>
      <c r="J51" s="374">
        <v>22.5</v>
      </c>
    </row>
    <row r="52" spans="1:10" ht="14.25" hidden="1" customHeight="1">
      <c r="A52" s="375" t="e">
        <f>#REF!</f>
        <v>#REF!</v>
      </c>
      <c r="B52" s="375" t="e">
        <f>#REF!</f>
        <v>#REF!</v>
      </c>
      <c r="C52" s="376"/>
      <c r="D52" s="352"/>
      <c r="E52" s="352"/>
      <c r="F52" s="335">
        <f t="shared" ref="F52:F102" si="12">D52*$F$51</f>
        <v>0</v>
      </c>
      <c r="G52" s="353">
        <f t="shared" ref="G52:G102" si="13">E52*$G$51</f>
        <v>0</v>
      </c>
      <c r="H52" s="335">
        <f>G52+F52</f>
        <v>0</v>
      </c>
      <c r="I52" s="377"/>
      <c r="J52" s="335">
        <f>I52*$J$51</f>
        <v>0</v>
      </c>
    </row>
    <row r="53" spans="1:10" ht="14.25" hidden="1" customHeight="1">
      <c r="A53" s="375" t="e">
        <f>#REF!</f>
        <v>#REF!</v>
      </c>
      <c r="B53" s="375" t="e">
        <f>#REF!</f>
        <v>#REF!</v>
      </c>
      <c r="C53" s="376"/>
      <c r="D53" s="352">
        <v>164314</v>
      </c>
      <c r="E53" s="352"/>
      <c r="F53" s="335">
        <f t="shared" si="12"/>
        <v>1971.768</v>
      </c>
      <c r="G53" s="353">
        <f t="shared" si="13"/>
        <v>0</v>
      </c>
      <c r="H53" s="335">
        <f t="shared" ref="H53:H102" si="14">G53+F53</f>
        <v>1971.768</v>
      </c>
      <c r="I53" s="377"/>
      <c r="J53" s="335">
        <f>I53*$J$51/1000</f>
        <v>0</v>
      </c>
    </row>
    <row r="54" spans="1:10" hidden="1">
      <c r="A54" s="375" t="e">
        <f>#REF!</f>
        <v>#REF!</v>
      </c>
      <c r="B54" s="375" t="e">
        <f>#REF!</f>
        <v>#REF!</v>
      </c>
      <c r="C54" s="376"/>
      <c r="D54" s="352"/>
      <c r="E54" s="352"/>
      <c r="F54" s="335">
        <f t="shared" si="12"/>
        <v>0</v>
      </c>
      <c r="G54" s="353">
        <f t="shared" si="13"/>
        <v>0</v>
      </c>
      <c r="H54" s="335">
        <f t="shared" si="14"/>
        <v>0</v>
      </c>
      <c r="I54" s="377"/>
      <c r="J54" s="335">
        <f t="shared" ref="J54:J104" si="15">I54*$J$51/1000</f>
        <v>0</v>
      </c>
    </row>
    <row r="55" spans="1:10" hidden="1">
      <c r="A55" s="375" t="e">
        <f>#REF!</f>
        <v>#REF!</v>
      </c>
      <c r="B55" s="375" t="e">
        <f>#REF!</f>
        <v>#REF!</v>
      </c>
      <c r="C55" s="376"/>
      <c r="D55" s="352">
        <v>139311</v>
      </c>
      <c r="E55" s="352"/>
      <c r="F55" s="335">
        <f t="shared" si="12"/>
        <v>1671.732</v>
      </c>
      <c r="G55" s="353">
        <f t="shared" si="13"/>
        <v>0</v>
      </c>
      <c r="H55" s="335">
        <f t="shared" si="14"/>
        <v>1671.732</v>
      </c>
      <c r="I55" s="377"/>
      <c r="J55" s="335">
        <f t="shared" si="15"/>
        <v>0</v>
      </c>
    </row>
    <row r="56" spans="1:10" hidden="1">
      <c r="A56" s="375" t="e">
        <f>#REF!</f>
        <v>#REF!</v>
      </c>
      <c r="B56" s="375" t="e">
        <f>#REF!</f>
        <v>#REF!</v>
      </c>
      <c r="C56" s="376"/>
      <c r="D56" s="352">
        <v>182261</v>
      </c>
      <c r="E56" s="352"/>
      <c r="F56" s="335">
        <f t="shared" si="12"/>
        <v>2187.1320000000001</v>
      </c>
      <c r="G56" s="353">
        <f t="shared" si="13"/>
        <v>0</v>
      </c>
      <c r="H56" s="335">
        <f t="shared" si="14"/>
        <v>2187.1320000000001</v>
      </c>
      <c r="I56" s="377"/>
      <c r="J56" s="335">
        <f t="shared" si="15"/>
        <v>0</v>
      </c>
    </row>
    <row r="57" spans="1:10" hidden="1">
      <c r="A57" s="375" t="e">
        <f>#REF!</f>
        <v>#REF!</v>
      </c>
      <c r="B57" s="375" t="e">
        <f>#REF!</f>
        <v>#REF!</v>
      </c>
      <c r="C57" s="376"/>
      <c r="D57" s="352">
        <v>172291</v>
      </c>
      <c r="E57" s="352"/>
      <c r="F57" s="335">
        <f t="shared" si="12"/>
        <v>2067.4920000000002</v>
      </c>
      <c r="G57" s="353">
        <f t="shared" si="13"/>
        <v>0</v>
      </c>
      <c r="H57" s="335">
        <f t="shared" si="14"/>
        <v>2067.4920000000002</v>
      </c>
      <c r="I57" s="377"/>
      <c r="J57" s="335">
        <f t="shared" si="15"/>
        <v>0</v>
      </c>
    </row>
    <row r="58" spans="1:10" hidden="1">
      <c r="A58" s="375" t="e">
        <f>#REF!</f>
        <v>#REF!</v>
      </c>
      <c r="B58" s="375" t="e">
        <f>#REF!</f>
        <v>#REF!</v>
      </c>
      <c r="C58" s="376"/>
      <c r="D58" s="352">
        <v>147378</v>
      </c>
      <c r="E58" s="352"/>
      <c r="F58" s="335">
        <f t="shared" si="12"/>
        <v>1768.5360000000001</v>
      </c>
      <c r="G58" s="353">
        <f t="shared" si="13"/>
        <v>0</v>
      </c>
      <c r="H58" s="335">
        <f t="shared" si="14"/>
        <v>1768.5360000000001</v>
      </c>
      <c r="I58" s="377"/>
      <c r="J58" s="335">
        <f t="shared" si="15"/>
        <v>0</v>
      </c>
    </row>
    <row r="59" spans="1:10" hidden="1">
      <c r="A59" s="375" t="e">
        <f>#REF!</f>
        <v>#REF!</v>
      </c>
      <c r="B59" s="375" t="e">
        <f>#REF!</f>
        <v>#REF!</v>
      </c>
      <c r="C59" s="376"/>
      <c r="D59" s="352"/>
      <c r="E59" s="352"/>
      <c r="F59" s="335">
        <f t="shared" si="12"/>
        <v>0</v>
      </c>
      <c r="G59" s="353">
        <f t="shared" si="13"/>
        <v>0</v>
      </c>
      <c r="H59" s="335">
        <f t="shared" si="14"/>
        <v>0</v>
      </c>
      <c r="I59" s="377"/>
      <c r="J59" s="335">
        <f t="shared" si="15"/>
        <v>0</v>
      </c>
    </row>
    <row r="60" spans="1:10" hidden="1">
      <c r="A60" s="375" t="e">
        <f>#REF!</f>
        <v>#REF!</v>
      </c>
      <c r="B60" s="375" t="e">
        <f>#REF!</f>
        <v>#REF!</v>
      </c>
      <c r="C60" s="376"/>
      <c r="D60" s="352">
        <v>152054</v>
      </c>
      <c r="E60" s="352"/>
      <c r="F60" s="335">
        <f t="shared" si="12"/>
        <v>1824.6480000000001</v>
      </c>
      <c r="G60" s="353">
        <f t="shared" si="13"/>
        <v>0</v>
      </c>
      <c r="H60" s="335">
        <f t="shared" si="14"/>
        <v>1824.6480000000001</v>
      </c>
      <c r="I60" s="377"/>
      <c r="J60" s="335">
        <f t="shared" si="15"/>
        <v>0</v>
      </c>
    </row>
    <row r="61" spans="1:10" hidden="1">
      <c r="A61" s="375" t="e">
        <f>#REF!</f>
        <v>#REF!</v>
      </c>
      <c r="B61" s="375" t="e">
        <f>#REF!</f>
        <v>#REF!</v>
      </c>
      <c r="C61" s="376"/>
      <c r="D61" s="352">
        <v>135692</v>
      </c>
      <c r="E61" s="352"/>
      <c r="F61" s="335">
        <f t="shared" si="12"/>
        <v>1628.3040000000001</v>
      </c>
      <c r="G61" s="353">
        <f t="shared" si="13"/>
        <v>0</v>
      </c>
      <c r="H61" s="335">
        <f t="shared" si="14"/>
        <v>1628.3040000000001</v>
      </c>
      <c r="I61" s="377"/>
      <c r="J61" s="335">
        <f t="shared" si="15"/>
        <v>0</v>
      </c>
    </row>
    <row r="62" spans="1:10" hidden="1">
      <c r="A62" s="375" t="e">
        <f>#REF!</f>
        <v>#REF!</v>
      </c>
      <c r="B62" s="375" t="e">
        <f>#REF!</f>
        <v>#REF!</v>
      </c>
      <c r="C62" s="376"/>
      <c r="D62" s="352">
        <v>171739</v>
      </c>
      <c r="E62" s="352"/>
      <c r="F62" s="335">
        <f t="shared" si="12"/>
        <v>2060.8679999999999</v>
      </c>
      <c r="G62" s="353">
        <f t="shared" si="13"/>
        <v>0</v>
      </c>
      <c r="H62" s="335">
        <f t="shared" si="14"/>
        <v>2060.8679999999999</v>
      </c>
      <c r="I62" s="377"/>
      <c r="J62" s="335">
        <f t="shared" si="15"/>
        <v>0</v>
      </c>
    </row>
    <row r="63" spans="1:10" hidden="1">
      <c r="A63" s="375" t="e">
        <f>#REF!</f>
        <v>#REF!</v>
      </c>
      <c r="B63" s="375" t="e">
        <f>#REF!</f>
        <v>#REF!</v>
      </c>
      <c r="C63" s="376"/>
      <c r="D63" s="352">
        <v>133525</v>
      </c>
      <c r="E63" s="352"/>
      <c r="F63" s="335">
        <f t="shared" si="12"/>
        <v>1602.3</v>
      </c>
      <c r="G63" s="353">
        <f t="shared" si="13"/>
        <v>0</v>
      </c>
      <c r="H63" s="335">
        <f t="shared" si="14"/>
        <v>1602.3</v>
      </c>
      <c r="I63" s="377"/>
      <c r="J63" s="335">
        <f t="shared" si="15"/>
        <v>0</v>
      </c>
    </row>
    <row r="64" spans="1:10" hidden="1">
      <c r="A64" s="339" t="e">
        <f>#REF!</f>
        <v>#REF!</v>
      </c>
      <c r="B64" s="339" t="e">
        <f>#REF!</f>
        <v>#REF!</v>
      </c>
      <c r="C64" s="378"/>
      <c r="D64" s="352">
        <v>143629</v>
      </c>
      <c r="E64" s="352"/>
      <c r="F64" s="335">
        <f t="shared" si="12"/>
        <v>1723.548</v>
      </c>
      <c r="G64" s="353">
        <f t="shared" si="13"/>
        <v>0</v>
      </c>
      <c r="H64" s="335">
        <f t="shared" si="14"/>
        <v>1723.548</v>
      </c>
      <c r="I64" s="377"/>
      <c r="J64" s="335">
        <f t="shared" si="15"/>
        <v>0</v>
      </c>
    </row>
    <row r="65" spans="1:10" hidden="1">
      <c r="A65" s="339" t="e">
        <f>#REF!</f>
        <v>#REF!</v>
      </c>
      <c r="B65" s="339" t="e">
        <f>#REF!</f>
        <v>#REF!</v>
      </c>
      <c r="C65" s="378"/>
      <c r="D65" s="352">
        <v>132502</v>
      </c>
      <c r="E65" s="352"/>
      <c r="F65" s="335">
        <f t="shared" si="12"/>
        <v>1590.0240000000001</v>
      </c>
      <c r="G65" s="353">
        <f t="shared" si="13"/>
        <v>0</v>
      </c>
      <c r="H65" s="335">
        <f t="shared" si="14"/>
        <v>1590.0240000000001</v>
      </c>
      <c r="I65" s="377"/>
      <c r="J65" s="335">
        <f t="shared" si="15"/>
        <v>0</v>
      </c>
    </row>
    <row r="66" spans="1:10" hidden="1">
      <c r="A66" s="339" t="e">
        <f>#REF!</f>
        <v>#REF!</v>
      </c>
      <c r="B66" s="339" t="e">
        <f>#REF!</f>
        <v>#REF!</v>
      </c>
      <c r="C66" s="378"/>
      <c r="D66" s="352"/>
      <c r="E66" s="352"/>
      <c r="F66" s="335">
        <f t="shared" si="12"/>
        <v>0</v>
      </c>
      <c r="G66" s="353">
        <f t="shared" si="13"/>
        <v>0</v>
      </c>
      <c r="H66" s="335">
        <f t="shared" si="14"/>
        <v>0</v>
      </c>
      <c r="I66" s="377"/>
      <c r="J66" s="335">
        <f t="shared" si="15"/>
        <v>0</v>
      </c>
    </row>
    <row r="67" spans="1:10" hidden="1">
      <c r="A67" s="339" t="e">
        <f>#REF!</f>
        <v>#REF!</v>
      </c>
      <c r="B67" s="339" t="e">
        <f>#REF!</f>
        <v>#REF!</v>
      </c>
      <c r="C67" s="378"/>
      <c r="D67" s="352"/>
      <c r="E67" s="352"/>
      <c r="F67" s="335">
        <f t="shared" si="12"/>
        <v>0</v>
      </c>
      <c r="G67" s="353">
        <f t="shared" si="13"/>
        <v>0</v>
      </c>
      <c r="H67" s="335">
        <f t="shared" si="14"/>
        <v>0</v>
      </c>
      <c r="I67" s="377"/>
      <c r="J67" s="335">
        <f t="shared" si="15"/>
        <v>0</v>
      </c>
    </row>
    <row r="68" spans="1:10" hidden="1">
      <c r="A68" s="339" t="e">
        <f>#REF!</f>
        <v>#REF!</v>
      </c>
      <c r="B68" s="339" t="e">
        <f>#REF!</f>
        <v>#REF!</v>
      </c>
      <c r="C68" s="378"/>
      <c r="D68" s="352">
        <v>138471</v>
      </c>
      <c r="E68" s="352"/>
      <c r="F68" s="335">
        <f t="shared" si="12"/>
        <v>1661.652</v>
      </c>
      <c r="G68" s="353">
        <f t="shared" si="13"/>
        <v>0</v>
      </c>
      <c r="H68" s="335">
        <f t="shared" si="14"/>
        <v>1661.652</v>
      </c>
      <c r="I68" s="377"/>
      <c r="J68" s="335">
        <f t="shared" si="15"/>
        <v>0</v>
      </c>
    </row>
    <row r="69" spans="1:10" hidden="1">
      <c r="A69" s="339" t="e">
        <f>#REF!</f>
        <v>#REF!</v>
      </c>
      <c r="B69" s="339" t="e">
        <f>#REF!</f>
        <v>#REF!</v>
      </c>
      <c r="C69" s="378"/>
      <c r="D69" s="352">
        <v>152354</v>
      </c>
      <c r="E69" s="352"/>
      <c r="F69" s="335">
        <f t="shared" si="12"/>
        <v>1828.248</v>
      </c>
      <c r="G69" s="353">
        <f t="shared" si="13"/>
        <v>0</v>
      </c>
      <c r="H69" s="335">
        <f t="shared" si="14"/>
        <v>1828.248</v>
      </c>
      <c r="I69" s="377"/>
      <c r="J69" s="335">
        <f t="shared" si="15"/>
        <v>0</v>
      </c>
    </row>
    <row r="70" spans="1:10" hidden="1">
      <c r="A70" s="339" t="e">
        <f>#REF!</f>
        <v>#REF!</v>
      </c>
      <c r="B70" s="339" t="e">
        <f>#REF!</f>
        <v>#REF!</v>
      </c>
      <c r="C70" s="378"/>
      <c r="D70" s="352">
        <v>156842</v>
      </c>
      <c r="E70" s="352"/>
      <c r="F70" s="335">
        <f t="shared" si="12"/>
        <v>1882.104</v>
      </c>
      <c r="G70" s="353">
        <f t="shared" si="13"/>
        <v>0</v>
      </c>
      <c r="H70" s="335">
        <f t="shared" si="14"/>
        <v>1882.104</v>
      </c>
      <c r="I70" s="377"/>
      <c r="J70" s="335">
        <f t="shared" si="15"/>
        <v>0</v>
      </c>
    </row>
    <row r="71" spans="1:10" hidden="1">
      <c r="A71" s="339" t="e">
        <f>#REF!</f>
        <v>#REF!</v>
      </c>
      <c r="B71" s="339" t="e">
        <f>#REF!</f>
        <v>#REF!</v>
      </c>
      <c r="C71" s="378"/>
      <c r="D71" s="352">
        <v>127598</v>
      </c>
      <c r="E71" s="352"/>
      <c r="F71" s="335">
        <f t="shared" si="12"/>
        <v>1531.1759999999999</v>
      </c>
      <c r="G71" s="353">
        <f t="shared" si="13"/>
        <v>0</v>
      </c>
      <c r="H71" s="335">
        <f t="shared" si="14"/>
        <v>1531.1759999999999</v>
      </c>
      <c r="I71" s="377"/>
      <c r="J71" s="335">
        <f t="shared" si="15"/>
        <v>0</v>
      </c>
    </row>
    <row r="72" spans="1:10" hidden="1">
      <c r="A72" s="339" t="e">
        <f>#REF!</f>
        <v>#REF!</v>
      </c>
      <c r="B72" s="339" t="e">
        <f>#REF!</f>
        <v>#REF!</v>
      </c>
      <c r="C72" s="378"/>
      <c r="D72" s="352">
        <v>120239</v>
      </c>
      <c r="E72" s="352"/>
      <c r="F72" s="335">
        <f t="shared" si="12"/>
        <v>1442.8679999999999</v>
      </c>
      <c r="G72" s="353">
        <f t="shared" si="13"/>
        <v>0</v>
      </c>
      <c r="H72" s="335">
        <f t="shared" si="14"/>
        <v>1442.8679999999999</v>
      </c>
      <c r="I72" s="377"/>
      <c r="J72" s="335">
        <f t="shared" si="15"/>
        <v>0</v>
      </c>
    </row>
    <row r="73" spans="1:10" hidden="1">
      <c r="A73" s="339" t="e">
        <f>#REF!</f>
        <v>#REF!</v>
      </c>
      <c r="B73" s="339" t="e">
        <f>#REF!</f>
        <v>#REF!</v>
      </c>
      <c r="C73" s="378"/>
      <c r="D73" s="352">
        <v>133704</v>
      </c>
      <c r="E73" s="352"/>
      <c r="F73" s="335">
        <f t="shared" si="12"/>
        <v>1604.4480000000001</v>
      </c>
      <c r="G73" s="353">
        <f t="shared" si="13"/>
        <v>0</v>
      </c>
      <c r="H73" s="335">
        <f t="shared" si="14"/>
        <v>1604.4480000000001</v>
      </c>
      <c r="I73" s="377"/>
      <c r="J73" s="335">
        <f t="shared" si="15"/>
        <v>0</v>
      </c>
    </row>
    <row r="74" spans="1:10" hidden="1">
      <c r="A74" s="339" t="e">
        <f>#REF!</f>
        <v>#REF!</v>
      </c>
      <c r="B74" s="339" t="e">
        <f>#REF!</f>
        <v>#REF!</v>
      </c>
      <c r="C74" s="378"/>
      <c r="D74" s="352">
        <v>5211</v>
      </c>
      <c r="E74" s="352"/>
      <c r="F74" s="335">
        <f t="shared" si="12"/>
        <v>62.532000000000004</v>
      </c>
      <c r="G74" s="353">
        <f t="shared" si="13"/>
        <v>0</v>
      </c>
      <c r="H74" s="335">
        <f t="shared" si="14"/>
        <v>62.532000000000004</v>
      </c>
      <c r="I74" s="377"/>
      <c r="J74" s="335">
        <f t="shared" si="15"/>
        <v>0</v>
      </c>
    </row>
    <row r="75" spans="1:10" hidden="1">
      <c r="A75" s="339" t="e">
        <f>#REF!</f>
        <v>#REF!</v>
      </c>
      <c r="B75" s="339" t="e">
        <f>#REF!</f>
        <v>#REF!</v>
      </c>
      <c r="C75" s="378"/>
      <c r="D75" s="352">
        <v>31614</v>
      </c>
      <c r="E75" s="352"/>
      <c r="F75" s="335">
        <f t="shared" si="12"/>
        <v>379.36799999999999</v>
      </c>
      <c r="G75" s="353">
        <f t="shared" si="13"/>
        <v>0</v>
      </c>
      <c r="H75" s="335">
        <f t="shared" si="14"/>
        <v>379.36799999999999</v>
      </c>
      <c r="I75" s="377"/>
      <c r="J75" s="335">
        <f t="shared" si="15"/>
        <v>0</v>
      </c>
    </row>
    <row r="76" spans="1:10" hidden="1">
      <c r="A76" s="339" t="e">
        <f>#REF!</f>
        <v>#REF!</v>
      </c>
      <c r="B76" s="339" t="e">
        <f>#REF!</f>
        <v>#REF!</v>
      </c>
      <c r="C76" s="378"/>
      <c r="D76" s="352"/>
      <c r="E76" s="352"/>
      <c r="F76" s="335">
        <f t="shared" si="12"/>
        <v>0</v>
      </c>
      <c r="G76" s="353">
        <f t="shared" si="13"/>
        <v>0</v>
      </c>
      <c r="H76" s="335">
        <f t="shared" si="14"/>
        <v>0</v>
      </c>
      <c r="I76" s="377"/>
      <c r="J76" s="335">
        <f t="shared" si="15"/>
        <v>0</v>
      </c>
    </row>
    <row r="77" spans="1:10" hidden="1">
      <c r="A77" s="339" t="e">
        <f>#REF!</f>
        <v>#REF!</v>
      </c>
      <c r="B77" s="339" t="e">
        <f>#REF!</f>
        <v>#REF!</v>
      </c>
      <c r="C77" s="378"/>
      <c r="D77" s="352">
        <v>143686</v>
      </c>
      <c r="E77" s="352"/>
      <c r="F77" s="335">
        <f t="shared" si="12"/>
        <v>1724.232</v>
      </c>
      <c r="G77" s="353">
        <f t="shared" si="13"/>
        <v>0</v>
      </c>
      <c r="H77" s="335">
        <f t="shared" si="14"/>
        <v>1724.232</v>
      </c>
      <c r="I77" s="377"/>
      <c r="J77" s="335">
        <f t="shared" si="15"/>
        <v>0</v>
      </c>
    </row>
    <row r="78" spans="1:10" hidden="1">
      <c r="A78" s="339" t="e">
        <f>#REF!</f>
        <v>#REF!</v>
      </c>
      <c r="B78" s="339" t="e">
        <f>#REF!</f>
        <v>#REF!</v>
      </c>
      <c r="C78" s="378"/>
      <c r="D78" s="352">
        <v>132160</v>
      </c>
      <c r="E78" s="352"/>
      <c r="F78" s="335">
        <f t="shared" si="12"/>
        <v>1585.92</v>
      </c>
      <c r="G78" s="353">
        <f t="shared" si="13"/>
        <v>0</v>
      </c>
      <c r="H78" s="335">
        <f t="shared" si="14"/>
        <v>1585.92</v>
      </c>
      <c r="I78" s="377"/>
      <c r="J78" s="335">
        <f t="shared" si="15"/>
        <v>0</v>
      </c>
    </row>
    <row r="79" spans="1:10" hidden="1">
      <c r="A79" s="339" t="e">
        <f>#REF!</f>
        <v>#REF!</v>
      </c>
      <c r="B79" s="339" t="e">
        <f>#REF!</f>
        <v>#REF!</v>
      </c>
      <c r="C79" s="378"/>
      <c r="D79" s="352">
        <v>159970</v>
      </c>
      <c r="E79" s="352"/>
      <c r="F79" s="335">
        <f t="shared" si="12"/>
        <v>1919.64</v>
      </c>
      <c r="G79" s="353">
        <f t="shared" si="13"/>
        <v>0</v>
      </c>
      <c r="H79" s="335">
        <f t="shared" si="14"/>
        <v>1919.64</v>
      </c>
      <c r="I79" s="377"/>
      <c r="J79" s="335">
        <f t="shared" si="15"/>
        <v>0</v>
      </c>
    </row>
    <row r="80" spans="1:10" hidden="1">
      <c r="A80" s="339" t="e">
        <f>#REF!</f>
        <v>#REF!</v>
      </c>
      <c r="B80" s="339" t="e">
        <f>#REF!</f>
        <v>#REF!</v>
      </c>
      <c r="C80" s="378"/>
      <c r="D80" s="352">
        <v>147966</v>
      </c>
      <c r="E80" s="352"/>
      <c r="F80" s="335">
        <f t="shared" si="12"/>
        <v>1775.5920000000001</v>
      </c>
      <c r="G80" s="353">
        <f t="shared" si="13"/>
        <v>0</v>
      </c>
      <c r="H80" s="335">
        <f t="shared" si="14"/>
        <v>1775.5920000000001</v>
      </c>
      <c r="I80" s="377"/>
      <c r="J80" s="335">
        <f t="shared" si="15"/>
        <v>0</v>
      </c>
    </row>
    <row r="81" spans="1:10" hidden="1">
      <c r="A81" s="339" t="e">
        <f>#REF!</f>
        <v>#REF!</v>
      </c>
      <c r="B81" s="339" t="e">
        <f>#REF!</f>
        <v>#REF!</v>
      </c>
      <c r="C81" s="378"/>
      <c r="D81" s="352">
        <v>139317</v>
      </c>
      <c r="E81" s="352"/>
      <c r="F81" s="335">
        <f t="shared" si="12"/>
        <v>1671.8040000000001</v>
      </c>
      <c r="G81" s="353">
        <f t="shared" si="13"/>
        <v>0</v>
      </c>
      <c r="H81" s="335">
        <f t="shared" si="14"/>
        <v>1671.8040000000001</v>
      </c>
      <c r="I81" s="377"/>
      <c r="J81" s="335">
        <f t="shared" si="15"/>
        <v>0</v>
      </c>
    </row>
    <row r="82" spans="1:10" hidden="1">
      <c r="A82" s="379" t="e">
        <f>#REF!</f>
        <v>#REF!</v>
      </c>
      <c r="B82" s="379" t="e">
        <f>#REF!</f>
        <v>#REF!</v>
      </c>
      <c r="C82" s="380"/>
      <c r="D82" s="352"/>
      <c r="E82" s="352"/>
      <c r="F82" s="335">
        <f t="shared" si="12"/>
        <v>0</v>
      </c>
      <c r="G82" s="353">
        <f t="shared" si="13"/>
        <v>0</v>
      </c>
      <c r="H82" s="335">
        <f t="shared" si="14"/>
        <v>0</v>
      </c>
      <c r="I82" s="377"/>
      <c r="J82" s="335">
        <f t="shared" si="15"/>
        <v>0</v>
      </c>
    </row>
    <row r="83" spans="1:10" hidden="1">
      <c r="A83" s="379" t="e">
        <f>#REF!</f>
        <v>#REF!</v>
      </c>
      <c r="B83" s="379" t="e">
        <f>#REF!</f>
        <v>#REF!</v>
      </c>
      <c r="C83" s="380"/>
      <c r="D83" s="352"/>
      <c r="E83" s="352"/>
      <c r="F83" s="335">
        <f t="shared" si="12"/>
        <v>0</v>
      </c>
      <c r="G83" s="353">
        <f t="shared" si="13"/>
        <v>0</v>
      </c>
      <c r="H83" s="335">
        <f t="shared" si="14"/>
        <v>0</v>
      </c>
      <c r="I83" s="377"/>
      <c r="J83" s="335">
        <f t="shared" si="15"/>
        <v>0</v>
      </c>
    </row>
    <row r="84" spans="1:10" hidden="1">
      <c r="A84" s="379" t="e">
        <f>#REF!</f>
        <v>#REF!</v>
      </c>
      <c r="B84" s="379" t="e">
        <f>#REF!</f>
        <v>#REF!</v>
      </c>
      <c r="C84" s="380"/>
      <c r="D84" s="352"/>
      <c r="E84" s="352"/>
      <c r="F84" s="335">
        <f t="shared" si="12"/>
        <v>0</v>
      </c>
      <c r="G84" s="353">
        <f t="shared" si="13"/>
        <v>0</v>
      </c>
      <c r="H84" s="335">
        <f t="shared" si="14"/>
        <v>0</v>
      </c>
      <c r="I84" s="377"/>
      <c r="J84" s="335">
        <f t="shared" si="15"/>
        <v>0</v>
      </c>
    </row>
    <row r="85" spans="1:10" hidden="1">
      <c r="A85" s="379" t="e">
        <f>#REF!</f>
        <v>#REF!</v>
      </c>
      <c r="B85" s="379" t="e">
        <f>#REF!</f>
        <v>#REF!</v>
      </c>
      <c r="C85" s="380"/>
      <c r="D85" s="352"/>
      <c r="E85" s="352"/>
      <c r="F85" s="335">
        <f t="shared" si="12"/>
        <v>0</v>
      </c>
      <c r="G85" s="353">
        <f t="shared" si="13"/>
        <v>0</v>
      </c>
      <c r="H85" s="335">
        <f t="shared" si="14"/>
        <v>0</v>
      </c>
      <c r="I85" s="377"/>
      <c r="J85" s="335">
        <f t="shared" si="15"/>
        <v>0</v>
      </c>
    </row>
    <row r="86" spans="1:10" hidden="1">
      <c r="A86" s="379" t="e">
        <f>#REF!</f>
        <v>#REF!</v>
      </c>
      <c r="B86" s="379" t="e">
        <f>#REF!</f>
        <v>#REF!</v>
      </c>
      <c r="C86" s="380"/>
      <c r="D86" s="352"/>
      <c r="E86" s="352"/>
      <c r="F86" s="335">
        <f t="shared" si="12"/>
        <v>0</v>
      </c>
      <c r="G86" s="353">
        <f t="shared" si="13"/>
        <v>0</v>
      </c>
      <c r="H86" s="335">
        <f t="shared" si="14"/>
        <v>0</v>
      </c>
      <c r="I86" s="377"/>
      <c r="J86" s="335">
        <f t="shared" si="15"/>
        <v>0</v>
      </c>
    </row>
    <row r="87" spans="1:10" hidden="1">
      <c r="A87" s="379" t="e">
        <f>#REF!</f>
        <v>#REF!</v>
      </c>
      <c r="B87" s="379" t="e">
        <f>#REF!</f>
        <v>#REF!</v>
      </c>
      <c r="C87" s="380"/>
      <c r="D87" s="352"/>
      <c r="E87" s="352"/>
      <c r="F87" s="335">
        <f t="shared" si="12"/>
        <v>0</v>
      </c>
      <c r="G87" s="353">
        <f t="shared" si="13"/>
        <v>0</v>
      </c>
      <c r="H87" s="335">
        <f t="shared" si="14"/>
        <v>0</v>
      </c>
      <c r="I87" s="377"/>
      <c r="J87" s="335">
        <f t="shared" si="15"/>
        <v>0</v>
      </c>
    </row>
    <row r="88" spans="1:10" hidden="1">
      <c r="A88" s="379" t="e">
        <f>#REF!</f>
        <v>#REF!</v>
      </c>
      <c r="B88" s="379" t="e">
        <f>#REF!</f>
        <v>#REF!</v>
      </c>
      <c r="C88" s="380"/>
      <c r="D88" s="352"/>
      <c r="E88" s="352"/>
      <c r="F88" s="335">
        <f t="shared" si="12"/>
        <v>0</v>
      </c>
      <c r="G88" s="353">
        <f t="shared" si="13"/>
        <v>0</v>
      </c>
      <c r="H88" s="335">
        <f t="shared" si="14"/>
        <v>0</v>
      </c>
      <c r="I88" s="377"/>
      <c r="J88" s="381">
        <f>I88</f>
        <v>0</v>
      </c>
    </row>
    <row r="89" spans="1:10" hidden="1">
      <c r="A89" s="379" t="e">
        <f>#REF!</f>
        <v>#REF!</v>
      </c>
      <c r="B89" s="379" t="e">
        <f>#REF!</f>
        <v>#REF!</v>
      </c>
      <c r="C89" s="380"/>
      <c r="D89" s="352"/>
      <c r="E89" s="352"/>
      <c r="F89" s="335">
        <f t="shared" si="12"/>
        <v>0</v>
      </c>
      <c r="G89" s="353">
        <f t="shared" si="13"/>
        <v>0</v>
      </c>
      <c r="H89" s="335">
        <f t="shared" si="14"/>
        <v>0</v>
      </c>
      <c r="I89" s="377"/>
      <c r="J89" s="335">
        <f t="shared" si="15"/>
        <v>0</v>
      </c>
    </row>
    <row r="90" spans="1:10" hidden="1">
      <c r="A90" s="379" t="e">
        <f>#REF!</f>
        <v>#REF!</v>
      </c>
      <c r="B90" s="379" t="e">
        <f>#REF!</f>
        <v>#REF!</v>
      </c>
      <c r="C90" s="380"/>
      <c r="D90" s="352"/>
      <c r="E90" s="352"/>
      <c r="F90" s="335">
        <f t="shared" si="12"/>
        <v>0</v>
      </c>
      <c r="G90" s="353">
        <f t="shared" si="13"/>
        <v>0</v>
      </c>
      <c r="H90" s="335">
        <f t="shared" si="14"/>
        <v>0</v>
      </c>
      <c r="I90" s="377"/>
      <c r="J90" s="335">
        <f t="shared" si="15"/>
        <v>0</v>
      </c>
    </row>
    <row r="91" spans="1:10" hidden="1">
      <c r="A91" s="379" t="e">
        <f>#REF!</f>
        <v>#REF!</v>
      </c>
      <c r="B91" s="379" t="e">
        <f>#REF!</f>
        <v>#REF!</v>
      </c>
      <c r="C91" s="380"/>
      <c r="D91" s="352">
        <v>3246</v>
      </c>
      <c r="E91" s="352"/>
      <c r="F91" s="335">
        <f t="shared" si="12"/>
        <v>38.951999999999998</v>
      </c>
      <c r="G91" s="353">
        <f t="shared" si="13"/>
        <v>0</v>
      </c>
      <c r="H91" s="335">
        <f t="shared" si="14"/>
        <v>38.951999999999998</v>
      </c>
      <c r="I91" s="377"/>
      <c r="J91" s="335">
        <f t="shared" si="15"/>
        <v>0</v>
      </c>
    </row>
    <row r="92" spans="1:10" hidden="1">
      <c r="A92" s="379" t="e">
        <f>#REF!</f>
        <v>#REF!</v>
      </c>
      <c r="B92" s="379" t="e">
        <f>#REF!</f>
        <v>#REF!</v>
      </c>
      <c r="C92" s="382"/>
      <c r="D92" s="352"/>
      <c r="E92" s="352"/>
      <c r="F92" s="335">
        <f t="shared" si="12"/>
        <v>0</v>
      </c>
      <c r="G92" s="353">
        <f t="shared" si="13"/>
        <v>0</v>
      </c>
      <c r="H92" s="335">
        <f t="shared" si="14"/>
        <v>0</v>
      </c>
      <c r="I92" s="377"/>
      <c r="J92" s="335">
        <f t="shared" si="15"/>
        <v>0</v>
      </c>
    </row>
    <row r="93" spans="1:10" hidden="1">
      <c r="A93" s="333" t="e">
        <f>#REF!</f>
        <v>#REF!</v>
      </c>
      <c r="B93" s="333" t="e">
        <f>#REF!</f>
        <v>#REF!</v>
      </c>
      <c r="C93" s="383"/>
      <c r="D93" s="352"/>
      <c r="E93" s="352"/>
      <c r="F93" s="335">
        <f t="shared" si="12"/>
        <v>0</v>
      </c>
      <c r="G93" s="353">
        <f t="shared" si="13"/>
        <v>0</v>
      </c>
      <c r="H93" s="335">
        <f t="shared" si="14"/>
        <v>0</v>
      </c>
      <c r="I93" s="377"/>
      <c r="J93" s="335">
        <f t="shared" si="15"/>
        <v>0</v>
      </c>
    </row>
    <row r="94" spans="1:10" hidden="1">
      <c r="A94" s="333" t="e">
        <f>#REF!</f>
        <v>#REF!</v>
      </c>
      <c r="B94" s="333" t="e">
        <f>#REF!</f>
        <v>#REF!</v>
      </c>
      <c r="C94" s="383"/>
      <c r="D94" s="352"/>
      <c r="E94" s="352"/>
      <c r="F94" s="335">
        <f t="shared" si="12"/>
        <v>0</v>
      </c>
      <c r="G94" s="353">
        <f t="shared" si="13"/>
        <v>0</v>
      </c>
      <c r="H94" s="335">
        <f t="shared" si="14"/>
        <v>0</v>
      </c>
      <c r="I94" s="377"/>
      <c r="J94" s="335">
        <f t="shared" si="15"/>
        <v>0</v>
      </c>
    </row>
    <row r="95" spans="1:10" hidden="1">
      <c r="A95" s="333" t="e">
        <f>#REF!</f>
        <v>#REF!</v>
      </c>
      <c r="B95" s="333" t="e">
        <f>#REF!</f>
        <v>#REF!</v>
      </c>
      <c r="C95" s="383"/>
      <c r="D95" s="352"/>
      <c r="E95" s="352"/>
      <c r="F95" s="335">
        <f t="shared" si="12"/>
        <v>0</v>
      </c>
      <c r="G95" s="353">
        <f t="shared" si="13"/>
        <v>0</v>
      </c>
      <c r="H95" s="335">
        <f t="shared" si="14"/>
        <v>0</v>
      </c>
      <c r="I95" s="377"/>
      <c r="J95" s="335">
        <f t="shared" si="15"/>
        <v>0</v>
      </c>
    </row>
    <row r="96" spans="1:10" hidden="1">
      <c r="A96" s="333" t="e">
        <f>#REF!</f>
        <v>#REF!</v>
      </c>
      <c r="B96" s="333" t="e">
        <f>#REF!</f>
        <v>#REF!</v>
      </c>
      <c r="C96" s="383"/>
      <c r="D96" s="352"/>
      <c r="E96" s="352"/>
      <c r="F96" s="335">
        <f t="shared" si="12"/>
        <v>0</v>
      </c>
      <c r="G96" s="353">
        <f t="shared" si="13"/>
        <v>0</v>
      </c>
      <c r="H96" s="335">
        <f t="shared" si="14"/>
        <v>0</v>
      </c>
      <c r="I96" s="377"/>
      <c r="J96" s="335">
        <f t="shared" si="15"/>
        <v>0</v>
      </c>
    </row>
    <row r="97" spans="1:10" hidden="1">
      <c r="A97" s="333" t="e">
        <f>#REF!</f>
        <v>#REF!</v>
      </c>
      <c r="B97" s="333" t="e">
        <f>#REF!</f>
        <v>#REF!</v>
      </c>
      <c r="C97" s="383"/>
      <c r="D97" s="352"/>
      <c r="E97" s="352"/>
      <c r="F97" s="335">
        <f t="shared" si="12"/>
        <v>0</v>
      </c>
      <c r="G97" s="353">
        <f t="shared" si="13"/>
        <v>0</v>
      </c>
      <c r="H97" s="335">
        <f t="shared" si="14"/>
        <v>0</v>
      </c>
      <c r="I97" s="377"/>
      <c r="J97" s="335">
        <f t="shared" si="15"/>
        <v>0</v>
      </c>
    </row>
    <row r="98" spans="1:10" hidden="1">
      <c r="A98" s="333" t="e">
        <f>#REF!</f>
        <v>#REF!</v>
      </c>
      <c r="B98" s="333" t="e">
        <f>#REF!</f>
        <v>#REF!</v>
      </c>
      <c r="C98" s="383"/>
      <c r="D98" s="352"/>
      <c r="E98" s="352"/>
      <c r="F98" s="335">
        <f t="shared" si="12"/>
        <v>0</v>
      </c>
      <c r="G98" s="353">
        <f t="shared" si="13"/>
        <v>0</v>
      </c>
      <c r="H98" s="335">
        <f t="shared" si="14"/>
        <v>0</v>
      </c>
      <c r="I98" s="377"/>
      <c r="J98" s="335">
        <f t="shared" si="15"/>
        <v>0</v>
      </c>
    </row>
    <row r="99" spans="1:10" hidden="1">
      <c r="A99" s="333" t="e">
        <f>#REF!</f>
        <v>#REF!</v>
      </c>
      <c r="B99" s="333" t="e">
        <f>#REF!</f>
        <v>#REF!</v>
      </c>
      <c r="C99" s="383"/>
      <c r="D99" s="352"/>
      <c r="E99" s="352"/>
      <c r="F99" s="335">
        <f t="shared" si="12"/>
        <v>0</v>
      </c>
      <c r="G99" s="353">
        <f t="shared" si="13"/>
        <v>0</v>
      </c>
      <c r="H99" s="335">
        <f t="shared" si="14"/>
        <v>0</v>
      </c>
      <c r="I99" s="377"/>
      <c r="J99" s="335">
        <f t="shared" si="15"/>
        <v>0</v>
      </c>
    </row>
    <row r="100" spans="1:10" hidden="1">
      <c r="A100" s="333" t="e">
        <f>#REF!</f>
        <v>#REF!</v>
      </c>
      <c r="B100" s="333" t="e">
        <f>#REF!</f>
        <v>#REF!</v>
      </c>
      <c r="C100" s="383"/>
      <c r="D100" s="352"/>
      <c r="E100" s="352"/>
      <c r="F100" s="335">
        <f t="shared" si="12"/>
        <v>0</v>
      </c>
      <c r="G100" s="353">
        <f t="shared" si="13"/>
        <v>0</v>
      </c>
      <c r="H100" s="335">
        <f t="shared" si="14"/>
        <v>0</v>
      </c>
      <c r="I100" s="377"/>
      <c r="J100" s="335">
        <f t="shared" si="15"/>
        <v>0</v>
      </c>
    </row>
    <row r="101" spans="1:10" hidden="1">
      <c r="A101" s="333" t="e">
        <f>#REF!</f>
        <v>#REF!</v>
      </c>
      <c r="B101" s="333" t="e">
        <f>#REF!</f>
        <v>#REF!</v>
      </c>
      <c r="C101" s="383"/>
      <c r="D101" s="352"/>
      <c r="E101" s="352"/>
      <c r="F101" s="335">
        <f t="shared" si="12"/>
        <v>0</v>
      </c>
      <c r="G101" s="353">
        <f t="shared" si="13"/>
        <v>0</v>
      </c>
      <c r="H101" s="335">
        <f t="shared" si="14"/>
        <v>0</v>
      </c>
      <c r="I101" s="377"/>
      <c r="J101" s="335">
        <f t="shared" si="15"/>
        <v>0</v>
      </c>
    </row>
    <row r="102" spans="1:10" hidden="1">
      <c r="A102" s="333" t="e">
        <f>#REF!</f>
        <v>#REF!</v>
      </c>
      <c r="B102" s="333" t="e">
        <f>#REF!</f>
        <v>#REF!</v>
      </c>
      <c r="C102" s="383"/>
      <c r="D102" s="352"/>
      <c r="E102" s="352"/>
      <c r="F102" s="335">
        <f t="shared" si="12"/>
        <v>0</v>
      </c>
      <c r="G102" s="353">
        <f t="shared" si="13"/>
        <v>0</v>
      </c>
      <c r="H102" s="335">
        <f t="shared" si="14"/>
        <v>0</v>
      </c>
      <c r="I102" s="377"/>
      <c r="J102" s="335">
        <f t="shared" si="15"/>
        <v>0</v>
      </c>
    </row>
    <row r="103" spans="1:10" hidden="1">
      <c r="J103" s="335"/>
    </row>
    <row r="104" spans="1:10" hidden="1">
      <c r="A104">
        <v>1</v>
      </c>
      <c r="B104">
        <v>2</v>
      </c>
      <c r="C104">
        <v>3</v>
      </c>
      <c r="D104">
        <v>4</v>
      </c>
      <c r="E104">
        <v>5</v>
      </c>
      <c r="F104">
        <v>6</v>
      </c>
      <c r="G104">
        <v>7</v>
      </c>
      <c r="H104">
        <v>8</v>
      </c>
      <c r="I104">
        <v>9</v>
      </c>
      <c r="J104" s="335">
        <f t="shared" si="15"/>
        <v>0.20250000000000001</v>
      </c>
    </row>
    <row r="105" spans="1:10" ht="13" hidden="1">
      <c r="I105" s="2" t="s">
        <v>216</v>
      </c>
      <c r="J105" s="161">
        <f>SUM(J52:J104)</f>
        <v>0.20250000000000001</v>
      </c>
    </row>
    <row r="106" spans="1:10" ht="14.25" customHeight="1">
      <c r="E106" s="319"/>
    </row>
    <row r="110" spans="1:10">
      <c r="D110"/>
      <c r="F110"/>
      <c r="H110"/>
      <c r="I110"/>
    </row>
    <row r="111" spans="1:10">
      <c r="D111"/>
      <c r="F111"/>
      <c r="H111"/>
      <c r="I111"/>
    </row>
    <row r="112" spans="1:10">
      <c r="D112"/>
      <c r="F112"/>
      <c r="H112"/>
      <c r="I112"/>
    </row>
    <row r="113" spans="4:9">
      <c r="D113"/>
      <c r="F113"/>
      <c r="H113"/>
      <c r="I113"/>
    </row>
    <row r="114" spans="4:9">
      <c r="D114"/>
      <c r="F114"/>
      <c r="H114"/>
      <c r="I114"/>
    </row>
    <row r="115" spans="4:9">
      <c r="D115"/>
      <c r="F115"/>
      <c r="H115"/>
      <c r="I115"/>
    </row>
    <row r="116" spans="4:9">
      <c r="D116"/>
      <c r="F116"/>
      <c r="H116"/>
      <c r="I116"/>
    </row>
    <row r="117" spans="4:9">
      <c r="D117"/>
      <c r="F117"/>
      <c r="H117"/>
      <c r="I117"/>
    </row>
    <row r="118" spans="4:9">
      <c r="D118"/>
      <c r="F118"/>
      <c r="H118"/>
      <c r="I118"/>
    </row>
    <row r="119" spans="4:9">
      <c r="D119"/>
      <c r="F119"/>
      <c r="H119"/>
      <c r="I119"/>
    </row>
    <row r="120" spans="4:9">
      <c r="D120"/>
      <c r="F120"/>
      <c r="H120"/>
      <c r="I120"/>
    </row>
    <row r="121" spans="4:9">
      <c r="D121"/>
      <c r="F121"/>
      <c r="H121"/>
      <c r="I121"/>
    </row>
    <row r="122" spans="4:9" ht="14.25" customHeight="1">
      <c r="D122"/>
      <c r="F122"/>
      <c r="H122"/>
      <c r="I122"/>
    </row>
    <row r="123" spans="4:9" ht="14.25" customHeight="1">
      <c r="D123"/>
      <c r="F123"/>
      <c r="H123"/>
      <c r="I123"/>
    </row>
    <row r="124" spans="4:9">
      <c r="D124"/>
      <c r="F124"/>
      <c r="H124"/>
      <c r="I124"/>
    </row>
    <row r="125" spans="4:9">
      <c r="D125"/>
      <c r="F125"/>
      <c r="H125"/>
      <c r="I125"/>
    </row>
    <row r="126" spans="4:9">
      <c r="D126"/>
      <c r="F126"/>
      <c r="H126"/>
      <c r="I126"/>
    </row>
    <row r="127" spans="4:9">
      <c r="D127"/>
      <c r="F127"/>
      <c r="H127"/>
      <c r="I127"/>
    </row>
    <row r="128" spans="4:9">
      <c r="D128"/>
      <c r="F128"/>
      <c r="H128"/>
      <c r="I128"/>
    </row>
    <row r="129" spans="4:9">
      <c r="D129"/>
      <c r="F129"/>
      <c r="H129"/>
      <c r="I129"/>
    </row>
    <row r="130" spans="4:9">
      <c r="D130"/>
      <c r="F130"/>
      <c r="H130"/>
      <c r="I130"/>
    </row>
    <row r="131" spans="4:9">
      <c r="D131"/>
      <c r="F131"/>
      <c r="H131"/>
      <c r="I131"/>
    </row>
  </sheetData>
  <mergeCells count="33">
    <mergeCell ref="H50:H51"/>
    <mergeCell ref="I50:I51"/>
    <mergeCell ref="A50:A51"/>
    <mergeCell ref="B50:B51"/>
    <mergeCell ref="C50:C51"/>
    <mergeCell ref="D50:D51"/>
    <mergeCell ref="E50:E51"/>
    <mergeCell ref="C34:C35"/>
    <mergeCell ref="A38:A39"/>
    <mergeCell ref="B38:B39"/>
    <mergeCell ref="C38:C39"/>
    <mergeCell ref="B4:B5"/>
    <mergeCell ref="A4:A5"/>
    <mergeCell ref="C19:C20"/>
    <mergeCell ref="A30:A31"/>
    <mergeCell ref="B30:B31"/>
    <mergeCell ref="C30:C31"/>
    <mergeCell ref="A46:A47"/>
    <mergeCell ref="B46:B47"/>
    <mergeCell ref="C46:C47"/>
    <mergeCell ref="J4:J5"/>
    <mergeCell ref="I4:I5"/>
    <mergeCell ref="G4:G5"/>
    <mergeCell ref="E4:E5"/>
    <mergeCell ref="C4:C5"/>
    <mergeCell ref="A42:A43"/>
    <mergeCell ref="B42:B43"/>
    <mergeCell ref="A19:A20"/>
    <mergeCell ref="C21:C22"/>
    <mergeCell ref="B19:B20"/>
    <mergeCell ref="C42:C43"/>
    <mergeCell ref="A34:A35"/>
    <mergeCell ref="B34:B35"/>
  </mergeCells>
  <pageMargins left="0" right="0" top="0" bottom="0" header="0" footer="0"/>
  <pageSetup paperSize="9" scale="61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2:P49"/>
  <sheetViews>
    <sheetView topLeftCell="B1" zoomScale="115" workbookViewId="0">
      <pane xSplit="2" ySplit="3" topLeftCell="D4" activePane="bottomRight" state="frozen"/>
      <selection activeCell="K3" sqref="K3"/>
      <selection pane="topRight" activeCell="K3" sqref="K3"/>
      <selection pane="bottomLeft" activeCell="K3" sqref="K3"/>
      <selection pane="bottomRight" activeCell="AN7" sqref="AN7"/>
    </sheetView>
  </sheetViews>
  <sheetFormatPr defaultRowHeight="12.5"/>
  <cols>
    <col min="1" max="1" width="3" bestFit="1" customWidth="1"/>
    <col min="2" max="2" width="7.90625" customWidth="1"/>
    <col min="3" max="3" width="18.453125" bestFit="1" customWidth="1"/>
    <col min="4" max="4" width="7.36328125" customWidth="1"/>
    <col min="5" max="5" width="7.453125" customWidth="1"/>
    <col min="6" max="6" width="8" customWidth="1"/>
    <col min="7" max="7" width="7.36328125" customWidth="1"/>
    <col min="8" max="8" width="7.54296875" customWidth="1"/>
    <col min="9" max="9" width="7.6328125" customWidth="1"/>
    <col min="10" max="15" width="9.08984375" customWidth="1"/>
  </cols>
  <sheetData>
    <row r="2" spans="1:16" ht="20">
      <c r="B2" s="3" t="s">
        <v>15</v>
      </c>
    </row>
    <row r="3" spans="1:16">
      <c r="B3" s="4"/>
      <c r="C3" s="5"/>
      <c r="D3" s="5" t="s">
        <v>16</v>
      </c>
      <c r="E3" s="5" t="s">
        <v>17</v>
      </c>
      <c r="F3" s="5" t="s">
        <v>18</v>
      </c>
      <c r="G3" s="5" t="s">
        <v>19</v>
      </c>
      <c r="H3" s="5" t="s">
        <v>20</v>
      </c>
      <c r="I3" s="5" t="s">
        <v>21</v>
      </c>
      <c r="J3" s="5" t="s">
        <v>22</v>
      </c>
      <c r="K3" s="5" t="s">
        <v>23</v>
      </c>
      <c r="L3" s="5" t="s">
        <v>24</v>
      </c>
      <c r="M3" s="5" t="s">
        <v>25</v>
      </c>
      <c r="N3" s="5" t="s">
        <v>26</v>
      </c>
      <c r="O3" s="6" t="s">
        <v>27</v>
      </c>
      <c r="P3" s="6" t="s">
        <v>28</v>
      </c>
    </row>
    <row r="4" spans="1:16" s="19" customFormat="1">
      <c r="A4" s="19" t="e">
        <f>#REF!</f>
        <v>#REF!</v>
      </c>
      <c r="B4" s="20">
        <v>1</v>
      </c>
      <c r="C4" s="17" t="s">
        <v>1</v>
      </c>
      <c r="D4" s="21"/>
      <c r="E4" s="21"/>
      <c r="F4" s="21"/>
      <c r="G4" s="17"/>
      <c r="H4" s="17"/>
      <c r="I4" s="17"/>
      <c r="J4" s="17"/>
      <c r="K4" s="17"/>
      <c r="L4" s="17"/>
      <c r="M4" s="17"/>
      <c r="N4" s="21"/>
      <c r="O4" s="22"/>
      <c r="P4" s="23">
        <f t="shared" ref="P4:P14" si="0">SUM(D4:O4)</f>
        <v>0</v>
      </c>
    </row>
    <row r="5" spans="1:16" s="19" customFormat="1">
      <c r="A5" s="19" t="e">
        <f>#REF!</f>
        <v>#REF!</v>
      </c>
      <c r="B5" s="20">
        <v>2</v>
      </c>
      <c r="C5" s="17" t="s">
        <v>3</v>
      </c>
      <c r="D5" s="21"/>
      <c r="E5" s="21"/>
      <c r="F5" s="21"/>
      <c r="G5" s="17"/>
      <c r="H5" s="17"/>
      <c r="I5" s="17"/>
      <c r="J5" s="17"/>
      <c r="K5" s="17"/>
      <c r="L5" s="17"/>
      <c r="M5" s="17"/>
      <c r="N5" s="21"/>
      <c r="O5" s="22"/>
      <c r="P5" s="23">
        <f t="shared" si="0"/>
        <v>0</v>
      </c>
    </row>
    <row r="6" spans="1:16">
      <c r="A6" t="e">
        <f>#REF!</f>
        <v>#REF!</v>
      </c>
      <c r="B6" s="7">
        <v>3</v>
      </c>
      <c r="C6" s="8" t="s">
        <v>2</v>
      </c>
      <c r="D6" s="14">
        <v>1</v>
      </c>
      <c r="E6" s="14">
        <v>3</v>
      </c>
      <c r="F6" s="14">
        <v>1</v>
      </c>
      <c r="G6" s="15">
        <v>1</v>
      </c>
      <c r="H6" s="15"/>
      <c r="I6" s="15">
        <v>2</v>
      </c>
      <c r="J6" s="15"/>
      <c r="K6" s="15"/>
      <c r="L6" s="15"/>
      <c r="M6" s="15"/>
      <c r="N6" s="14"/>
      <c r="O6" s="16"/>
      <c r="P6" s="9">
        <f t="shared" si="0"/>
        <v>8</v>
      </c>
    </row>
    <row r="7" spans="1:16">
      <c r="A7" t="e">
        <f>#REF!</f>
        <v>#REF!</v>
      </c>
      <c r="B7" s="7">
        <v>4</v>
      </c>
      <c r="C7" s="8" t="s">
        <v>10</v>
      </c>
      <c r="D7" s="14"/>
      <c r="E7" s="14">
        <v>1</v>
      </c>
      <c r="F7" s="14">
        <v>1</v>
      </c>
      <c r="G7" s="15">
        <v>1</v>
      </c>
      <c r="H7" s="15"/>
      <c r="I7" s="15">
        <v>2</v>
      </c>
      <c r="J7" s="15"/>
      <c r="K7" s="15"/>
      <c r="L7" s="15"/>
      <c r="M7" s="15"/>
      <c r="N7" s="14"/>
      <c r="O7" s="16"/>
      <c r="P7" s="9">
        <f t="shared" si="0"/>
        <v>5</v>
      </c>
    </row>
    <row r="8" spans="1:16">
      <c r="A8" t="e">
        <f>#REF!</f>
        <v>#REF!</v>
      </c>
      <c r="B8" s="7">
        <v>5</v>
      </c>
      <c r="C8" s="8" t="s">
        <v>33</v>
      </c>
      <c r="D8" s="14"/>
      <c r="E8" s="14">
        <v>3</v>
      </c>
      <c r="F8" s="14"/>
      <c r="G8" s="15">
        <v>1</v>
      </c>
      <c r="H8" s="15">
        <v>5</v>
      </c>
      <c r="I8" s="15">
        <v>3</v>
      </c>
      <c r="J8" s="15"/>
      <c r="K8" s="15"/>
      <c r="L8" s="15"/>
      <c r="M8" s="15"/>
      <c r="N8" s="14"/>
      <c r="O8" s="16"/>
      <c r="P8" s="9">
        <f t="shared" si="0"/>
        <v>12</v>
      </c>
    </row>
    <row r="9" spans="1:16">
      <c r="A9" t="e">
        <f>#REF!</f>
        <v>#REF!</v>
      </c>
      <c r="B9" s="7">
        <v>6</v>
      </c>
      <c r="C9" s="8" t="s">
        <v>37</v>
      </c>
      <c r="D9" s="14"/>
      <c r="E9" s="14"/>
      <c r="F9" s="14"/>
      <c r="G9" s="15"/>
      <c r="H9" s="15"/>
      <c r="I9" s="15"/>
      <c r="J9" s="15"/>
      <c r="K9" s="15"/>
      <c r="L9" s="15"/>
      <c r="M9" s="15"/>
      <c r="N9" s="14"/>
      <c r="O9" s="16"/>
      <c r="P9" s="9">
        <f t="shared" si="0"/>
        <v>0</v>
      </c>
    </row>
    <row r="10" spans="1:16" s="19" customFormat="1">
      <c r="A10" s="19" t="e">
        <f>#REF!</f>
        <v>#REF!</v>
      </c>
      <c r="B10" s="20">
        <v>7</v>
      </c>
      <c r="C10" s="17" t="s">
        <v>14</v>
      </c>
      <c r="D10" s="21"/>
      <c r="E10" s="21"/>
      <c r="F10" s="21"/>
      <c r="G10" s="17"/>
      <c r="H10" s="17"/>
      <c r="I10" s="17"/>
      <c r="J10" s="17"/>
      <c r="K10" s="17"/>
      <c r="L10" s="17"/>
      <c r="M10" s="17"/>
      <c r="N10" s="21"/>
      <c r="O10" s="22"/>
      <c r="P10" s="23">
        <f t="shared" si="0"/>
        <v>0</v>
      </c>
    </row>
    <row r="11" spans="1:16">
      <c r="A11" t="e">
        <f>#REF!</f>
        <v>#REF!</v>
      </c>
      <c r="B11" s="7">
        <v>8</v>
      </c>
      <c r="C11" s="8" t="s">
        <v>11</v>
      </c>
      <c r="D11" s="14"/>
      <c r="E11" s="14">
        <v>1</v>
      </c>
      <c r="F11" s="14">
        <v>1</v>
      </c>
      <c r="G11" s="15"/>
      <c r="H11" s="15"/>
      <c r="I11" s="15"/>
      <c r="J11" s="15"/>
      <c r="K11" s="15"/>
      <c r="L11" s="15"/>
      <c r="M11" s="15"/>
      <c r="N11" s="14"/>
      <c r="O11" s="16"/>
      <c r="P11" s="9">
        <f t="shared" si="0"/>
        <v>2</v>
      </c>
    </row>
    <row r="12" spans="1:16">
      <c r="A12" t="e">
        <f>#REF!</f>
        <v>#REF!</v>
      </c>
      <c r="B12" s="7">
        <v>9</v>
      </c>
      <c r="C12" s="8" t="s">
        <v>13</v>
      </c>
      <c r="D12" s="14">
        <v>2</v>
      </c>
      <c r="E12" s="14">
        <v>5</v>
      </c>
      <c r="F12" s="14"/>
      <c r="G12" s="15"/>
      <c r="H12" s="15"/>
      <c r="I12" s="15"/>
      <c r="J12" s="15"/>
      <c r="K12" s="15"/>
      <c r="L12" s="15"/>
      <c r="M12" s="15"/>
      <c r="N12" s="14"/>
      <c r="O12" s="16"/>
      <c r="P12" s="9">
        <f t="shared" si="0"/>
        <v>7</v>
      </c>
    </row>
    <row r="13" spans="1:16">
      <c r="B13" s="7">
        <v>10</v>
      </c>
      <c r="C13" s="8" t="s">
        <v>31</v>
      </c>
      <c r="D13" s="14"/>
      <c r="E13" s="14">
        <v>6</v>
      </c>
      <c r="F13" s="14"/>
      <c r="G13" s="15">
        <v>8</v>
      </c>
      <c r="H13" s="15"/>
      <c r="I13" s="15"/>
      <c r="J13" s="15"/>
      <c r="K13" s="15"/>
      <c r="L13" s="15"/>
      <c r="M13" s="15"/>
      <c r="N13" s="14"/>
      <c r="O13" s="16"/>
      <c r="P13" s="9">
        <f t="shared" si="0"/>
        <v>14</v>
      </c>
    </row>
    <row r="14" spans="1:16">
      <c r="B14" s="7">
        <v>11</v>
      </c>
      <c r="C14" s="8" t="s">
        <v>34</v>
      </c>
      <c r="D14" s="14"/>
      <c r="E14" s="14">
        <v>1</v>
      </c>
      <c r="F14" s="14"/>
      <c r="G14" s="15">
        <v>2</v>
      </c>
      <c r="H14" s="15"/>
      <c r="I14" s="15">
        <v>1</v>
      </c>
      <c r="J14" s="15"/>
      <c r="K14" s="15"/>
      <c r="L14" s="15"/>
      <c r="M14" s="15"/>
      <c r="N14" s="14"/>
      <c r="O14" s="16"/>
      <c r="P14" s="9">
        <f t="shared" si="0"/>
        <v>4</v>
      </c>
    </row>
    <row r="15" spans="1:16" s="19" customFormat="1">
      <c r="B15" s="20">
        <v>12</v>
      </c>
      <c r="C15" s="17" t="s">
        <v>8</v>
      </c>
      <c r="D15" s="21"/>
      <c r="E15" s="21"/>
      <c r="F15" s="21"/>
      <c r="G15" s="17"/>
      <c r="H15" s="17"/>
      <c r="I15" s="17"/>
      <c r="J15" s="17"/>
      <c r="K15" s="17"/>
      <c r="L15" s="17"/>
      <c r="M15" s="17"/>
      <c r="N15" s="21"/>
      <c r="O15" s="22"/>
      <c r="P15" s="23"/>
    </row>
    <row r="16" spans="1:16" s="19" customFormat="1">
      <c r="B16" s="20">
        <v>13</v>
      </c>
      <c r="C16" s="17" t="s">
        <v>41</v>
      </c>
      <c r="D16" s="21"/>
      <c r="E16" s="21"/>
      <c r="F16" s="21"/>
      <c r="G16" s="17"/>
      <c r="H16" s="17"/>
      <c r="I16" s="17"/>
      <c r="J16" s="17"/>
      <c r="K16" s="17"/>
      <c r="L16" s="17"/>
      <c r="M16" s="17"/>
      <c r="N16" s="21"/>
      <c r="O16" s="22"/>
      <c r="P16" s="23"/>
    </row>
    <row r="17" spans="2:16">
      <c r="B17" s="7">
        <v>14</v>
      </c>
      <c r="C17" s="8" t="s">
        <v>44</v>
      </c>
      <c r="D17" s="14"/>
      <c r="E17" s="14"/>
      <c r="F17" s="14"/>
      <c r="G17" s="15"/>
      <c r="H17" s="15"/>
      <c r="I17" s="15"/>
      <c r="J17" s="15"/>
      <c r="K17" s="15"/>
      <c r="L17" s="15"/>
      <c r="M17" s="15"/>
      <c r="N17" s="14"/>
      <c r="O17" s="16"/>
      <c r="P17" s="9">
        <f>SUM(D17:O17)</f>
        <v>0</v>
      </c>
    </row>
    <row r="18" spans="2:16" s="19" customFormat="1">
      <c r="B18" s="20">
        <v>15</v>
      </c>
      <c r="C18" s="17" t="s">
        <v>45</v>
      </c>
      <c r="D18" s="21"/>
      <c r="E18" s="21"/>
      <c r="F18" s="21"/>
      <c r="G18" s="17"/>
      <c r="H18" s="17"/>
      <c r="I18" s="17"/>
      <c r="J18" s="17"/>
      <c r="K18" s="17"/>
      <c r="L18" s="17"/>
      <c r="M18" s="17"/>
      <c r="N18" s="21"/>
      <c r="O18" s="22"/>
      <c r="P18" s="23"/>
    </row>
    <row r="19" spans="2:16">
      <c r="B19" s="7">
        <v>16</v>
      </c>
      <c r="C19" s="8" t="s">
        <v>57</v>
      </c>
      <c r="D19" s="14"/>
      <c r="E19" s="14"/>
      <c r="F19" s="14"/>
      <c r="G19" s="15"/>
      <c r="H19" s="15"/>
      <c r="I19" s="15"/>
      <c r="J19" s="15"/>
      <c r="K19" s="15"/>
      <c r="L19" s="15"/>
      <c r="M19" s="15"/>
      <c r="N19" s="14"/>
      <c r="O19" s="16"/>
      <c r="P19" s="9">
        <f>SUM(D19:O19)</f>
        <v>0</v>
      </c>
    </row>
    <row r="20" spans="2:16">
      <c r="B20" s="7">
        <v>17</v>
      </c>
      <c r="C20" s="8" t="s">
        <v>12</v>
      </c>
      <c r="D20" s="14"/>
      <c r="E20" s="14">
        <v>1</v>
      </c>
      <c r="F20" s="14"/>
      <c r="G20" s="15"/>
      <c r="H20" s="15"/>
      <c r="I20" s="15"/>
      <c r="J20" s="15"/>
      <c r="K20" s="15"/>
      <c r="L20" s="15"/>
      <c r="M20" s="15"/>
      <c r="N20" s="14"/>
      <c r="O20" s="16"/>
      <c r="P20" s="9">
        <f>SUM(D20:O20)</f>
        <v>1</v>
      </c>
    </row>
    <row r="21" spans="2:16">
      <c r="B21" s="7">
        <v>18</v>
      </c>
      <c r="C21" s="8" t="s">
        <v>36</v>
      </c>
      <c r="D21" s="14">
        <v>1</v>
      </c>
      <c r="E21" s="14">
        <v>1</v>
      </c>
      <c r="F21" s="14">
        <v>1</v>
      </c>
      <c r="G21" s="15">
        <v>1</v>
      </c>
      <c r="H21" s="15"/>
      <c r="I21" s="15">
        <v>3</v>
      </c>
      <c r="J21" s="15"/>
      <c r="K21" s="15"/>
      <c r="L21" s="15"/>
      <c r="M21" s="15"/>
      <c r="N21" s="14"/>
      <c r="O21" s="16"/>
      <c r="P21" s="9">
        <f>SUM(D21:O21)</f>
        <v>7</v>
      </c>
    </row>
    <row r="22" spans="2:16" s="19" customFormat="1">
      <c r="B22" s="20">
        <v>19</v>
      </c>
      <c r="C22" s="17" t="s">
        <v>48</v>
      </c>
      <c r="D22" s="21"/>
      <c r="E22" s="21"/>
      <c r="F22" s="21"/>
      <c r="G22" s="17"/>
      <c r="H22" s="17"/>
      <c r="I22" s="17"/>
      <c r="J22" s="17"/>
      <c r="K22" s="17"/>
      <c r="L22" s="17"/>
      <c r="M22" s="17"/>
      <c r="N22" s="21"/>
      <c r="O22" s="22"/>
      <c r="P22" s="23"/>
    </row>
    <row r="23" spans="2:16">
      <c r="B23" s="7">
        <v>20</v>
      </c>
      <c r="C23" s="8" t="s">
        <v>46</v>
      </c>
      <c r="D23" s="14"/>
      <c r="E23" s="14">
        <v>1</v>
      </c>
      <c r="F23" s="14"/>
      <c r="G23" s="15"/>
      <c r="H23" s="15"/>
      <c r="I23" s="15"/>
      <c r="J23" s="15"/>
      <c r="K23" s="15"/>
      <c r="L23" s="15"/>
      <c r="M23" s="15"/>
      <c r="N23" s="14"/>
      <c r="O23" s="16"/>
      <c r="P23" s="9"/>
    </row>
    <row r="24" spans="2:16">
      <c r="B24" s="7">
        <v>22</v>
      </c>
      <c r="C24" s="8" t="s">
        <v>51</v>
      </c>
      <c r="D24" s="14"/>
      <c r="E24" s="14">
        <v>1</v>
      </c>
      <c r="F24" s="14"/>
      <c r="G24" s="15"/>
      <c r="H24" s="15"/>
      <c r="I24" s="15"/>
      <c r="J24" s="15"/>
      <c r="K24" s="15"/>
      <c r="L24" s="15"/>
      <c r="M24" s="15"/>
      <c r="N24" s="14"/>
      <c r="O24" s="16"/>
      <c r="P24" s="9"/>
    </row>
    <row r="25" spans="2:16">
      <c r="B25" s="7">
        <v>23</v>
      </c>
      <c r="C25" s="8" t="s">
        <v>60</v>
      </c>
      <c r="D25" s="14"/>
      <c r="E25" s="14">
        <v>2</v>
      </c>
      <c r="F25" s="14"/>
      <c r="G25" s="15"/>
      <c r="H25" s="15"/>
      <c r="I25" s="15">
        <v>1</v>
      </c>
      <c r="J25" s="15"/>
      <c r="K25" s="15"/>
      <c r="L25" s="15"/>
      <c r="M25" s="15"/>
      <c r="N25" s="14"/>
      <c r="O25" s="16"/>
      <c r="P25" s="9"/>
    </row>
    <row r="26" spans="2:16">
      <c r="B26" s="7">
        <v>24</v>
      </c>
      <c r="C26" s="8" t="s">
        <v>47</v>
      </c>
      <c r="D26" s="14"/>
      <c r="E26" s="14">
        <v>1</v>
      </c>
      <c r="F26" s="14"/>
      <c r="G26" s="15"/>
      <c r="H26" s="15"/>
      <c r="I26" s="15"/>
      <c r="J26" s="15"/>
      <c r="K26" s="15"/>
      <c r="L26" s="15"/>
      <c r="M26" s="15"/>
      <c r="N26" s="14"/>
      <c r="O26" s="16"/>
      <c r="P26" s="9"/>
    </row>
    <row r="27" spans="2:16">
      <c r="B27" s="7">
        <v>25</v>
      </c>
      <c r="C27" s="8" t="s">
        <v>43</v>
      </c>
      <c r="D27" s="14"/>
      <c r="E27" s="14">
        <v>1</v>
      </c>
      <c r="F27" s="14"/>
      <c r="G27" s="15"/>
      <c r="H27" s="15"/>
      <c r="I27" s="15"/>
      <c r="J27" s="15"/>
      <c r="K27" s="15"/>
      <c r="L27" s="15"/>
      <c r="M27" s="15"/>
      <c r="N27" s="14"/>
      <c r="O27" s="16"/>
      <c r="P27" s="9"/>
    </row>
    <row r="28" spans="2:16">
      <c r="B28" s="7">
        <v>26</v>
      </c>
      <c r="C28" s="8" t="s">
        <v>42</v>
      </c>
      <c r="D28" s="14"/>
      <c r="E28" s="14">
        <v>1</v>
      </c>
      <c r="F28" s="14"/>
      <c r="G28" s="15"/>
      <c r="H28" s="15"/>
      <c r="I28" s="15"/>
      <c r="J28" s="15"/>
      <c r="K28" s="15"/>
      <c r="L28" s="15"/>
      <c r="M28" s="15"/>
      <c r="N28" s="14"/>
      <c r="O28" s="16"/>
      <c r="P28" s="9"/>
    </row>
    <row r="29" spans="2:16">
      <c r="B29" s="7">
        <v>27</v>
      </c>
      <c r="C29" s="8" t="s">
        <v>59</v>
      </c>
      <c r="D29" s="14"/>
      <c r="E29" s="14">
        <v>1</v>
      </c>
      <c r="F29" s="14"/>
      <c r="G29" s="15"/>
      <c r="H29" s="15"/>
      <c r="I29" s="15"/>
      <c r="J29" s="15"/>
      <c r="K29" s="15"/>
      <c r="L29" s="15"/>
      <c r="M29" s="15"/>
      <c r="N29" s="14"/>
      <c r="O29" s="16"/>
      <c r="P29" s="9"/>
    </row>
    <row r="30" spans="2:16">
      <c r="B30" s="7">
        <v>28</v>
      </c>
      <c r="C30" s="8" t="s">
        <v>52</v>
      </c>
      <c r="D30" s="14"/>
      <c r="E30" s="14">
        <v>1</v>
      </c>
      <c r="F30" s="14"/>
      <c r="G30" s="15"/>
      <c r="H30" s="15"/>
      <c r="I30" s="15"/>
      <c r="J30" s="15"/>
      <c r="K30" s="15"/>
      <c r="L30" s="15"/>
      <c r="M30" s="15"/>
      <c r="N30" s="14"/>
      <c r="O30" s="16"/>
      <c r="P30" s="9"/>
    </row>
    <row r="31" spans="2:16">
      <c r="B31" s="7">
        <v>29</v>
      </c>
      <c r="C31" s="8" t="s">
        <v>30</v>
      </c>
      <c r="D31" s="14"/>
      <c r="E31" s="14">
        <v>1</v>
      </c>
      <c r="F31" s="14"/>
      <c r="G31" s="15"/>
      <c r="H31" s="15"/>
      <c r="I31" s="15"/>
      <c r="J31" s="15"/>
      <c r="K31" s="15"/>
      <c r="L31" s="15"/>
      <c r="M31" s="15"/>
      <c r="N31" s="14"/>
      <c r="O31" s="16"/>
      <c r="P31" s="9"/>
    </row>
    <row r="32" spans="2:16">
      <c r="B32" s="7">
        <v>30</v>
      </c>
      <c r="C32" s="8" t="s">
        <v>11</v>
      </c>
      <c r="D32" s="14"/>
      <c r="E32" s="14">
        <v>1</v>
      </c>
      <c r="F32" s="14"/>
      <c r="G32" s="15"/>
      <c r="H32" s="15"/>
      <c r="I32" s="15"/>
      <c r="J32" s="15"/>
      <c r="K32" s="15"/>
      <c r="L32" s="15"/>
      <c r="M32" s="15"/>
      <c r="N32" s="14"/>
      <c r="O32" s="16"/>
      <c r="P32" s="9"/>
    </row>
    <row r="33" spans="2:16">
      <c r="B33" s="7">
        <v>31</v>
      </c>
      <c r="C33" s="8" t="s">
        <v>61</v>
      </c>
      <c r="D33" s="14"/>
      <c r="E33" s="14">
        <v>1</v>
      </c>
      <c r="F33" s="14"/>
      <c r="G33" s="15"/>
      <c r="H33" s="15"/>
      <c r="I33" s="15"/>
      <c r="J33" s="15"/>
      <c r="K33" s="15"/>
      <c r="L33" s="15"/>
      <c r="M33" s="15"/>
      <c r="N33" s="14"/>
      <c r="O33" s="16"/>
      <c r="P33" s="9"/>
    </row>
    <row r="34" spans="2:16">
      <c r="B34" s="7">
        <v>32</v>
      </c>
      <c r="C34" s="8" t="s">
        <v>32</v>
      </c>
      <c r="D34" s="14"/>
      <c r="E34" s="14">
        <v>1</v>
      </c>
      <c r="F34" s="14"/>
      <c r="G34" s="15"/>
      <c r="H34" s="15"/>
      <c r="I34" s="15"/>
      <c r="J34" s="15"/>
      <c r="K34" s="15"/>
      <c r="L34" s="15"/>
      <c r="M34" s="15"/>
      <c r="N34" s="14"/>
      <c r="O34" s="16"/>
      <c r="P34" s="9"/>
    </row>
    <row r="35" spans="2:16">
      <c r="B35" s="7">
        <v>33</v>
      </c>
      <c r="C35" s="8" t="s">
        <v>62</v>
      </c>
      <c r="D35" s="14"/>
      <c r="E35" s="14">
        <v>1</v>
      </c>
      <c r="F35" s="14"/>
      <c r="G35" s="15"/>
      <c r="H35" s="15"/>
      <c r="I35" s="15"/>
      <c r="J35" s="15"/>
      <c r="K35" s="15"/>
      <c r="L35" s="15"/>
      <c r="M35" s="15"/>
      <c r="N35" s="14"/>
      <c r="O35" s="16"/>
      <c r="P35" s="9"/>
    </row>
    <row r="36" spans="2:16">
      <c r="B36" s="7">
        <v>34</v>
      </c>
      <c r="C36" s="8" t="s">
        <v>63</v>
      </c>
      <c r="D36" s="14"/>
      <c r="E36" s="14">
        <v>1</v>
      </c>
      <c r="F36" s="14"/>
      <c r="G36" s="15"/>
      <c r="H36" s="15"/>
      <c r="I36" s="15"/>
      <c r="J36" s="15"/>
      <c r="K36" s="15"/>
      <c r="L36" s="15"/>
      <c r="M36" s="15"/>
      <c r="N36" s="14"/>
      <c r="O36" s="16"/>
      <c r="P36" s="9"/>
    </row>
    <row r="37" spans="2:16">
      <c r="B37" s="7">
        <v>35</v>
      </c>
      <c r="C37" s="8" t="s">
        <v>64</v>
      </c>
      <c r="D37" s="14"/>
      <c r="E37" s="14">
        <v>1</v>
      </c>
      <c r="F37" s="14"/>
      <c r="G37" s="15"/>
      <c r="H37" s="15"/>
      <c r="I37" s="15"/>
      <c r="J37" s="15"/>
      <c r="K37" s="15"/>
      <c r="L37" s="15"/>
      <c r="M37" s="15"/>
      <c r="N37" s="14"/>
      <c r="O37" s="16"/>
      <c r="P37" s="9"/>
    </row>
    <row r="38" spans="2:16">
      <c r="B38" s="7">
        <v>36</v>
      </c>
      <c r="C38" s="8" t="s">
        <v>53</v>
      </c>
      <c r="D38" s="14"/>
      <c r="E38" s="14">
        <v>1</v>
      </c>
      <c r="F38" s="14"/>
      <c r="G38" s="15"/>
      <c r="H38" s="15"/>
      <c r="I38" s="15"/>
      <c r="J38" s="15"/>
      <c r="K38" s="15"/>
      <c r="L38" s="15"/>
      <c r="M38" s="15"/>
      <c r="N38" s="14"/>
      <c r="O38" s="16"/>
      <c r="P38" s="9"/>
    </row>
    <row r="39" spans="2:16">
      <c r="B39" s="7">
        <v>37</v>
      </c>
      <c r="C39" s="8" t="s">
        <v>58</v>
      </c>
      <c r="D39" s="14"/>
      <c r="E39" s="14">
        <v>1</v>
      </c>
      <c r="F39" s="14"/>
      <c r="G39" s="15"/>
      <c r="H39" s="15"/>
      <c r="I39" s="15"/>
      <c r="J39" s="15"/>
      <c r="K39" s="15"/>
      <c r="L39" s="15"/>
      <c r="M39" s="15"/>
      <c r="N39" s="14"/>
      <c r="O39" s="16"/>
      <c r="P39" s="9"/>
    </row>
    <row r="40" spans="2:16">
      <c r="B40" s="7">
        <v>38</v>
      </c>
      <c r="C40" s="8" t="s">
        <v>56</v>
      </c>
      <c r="D40" s="14"/>
      <c r="E40" s="14">
        <v>1</v>
      </c>
      <c r="F40" s="14"/>
      <c r="G40" s="15"/>
      <c r="H40" s="15"/>
      <c r="I40" s="15"/>
      <c r="J40" s="15"/>
      <c r="K40" s="15"/>
      <c r="L40" s="15"/>
      <c r="M40" s="15"/>
      <c r="N40" s="14"/>
      <c r="O40" s="16"/>
      <c r="P40" s="9"/>
    </row>
    <row r="41" spans="2:16">
      <c r="B41" s="7">
        <v>39</v>
      </c>
      <c r="C41" s="8" t="s">
        <v>29</v>
      </c>
      <c r="D41" s="14"/>
      <c r="E41" s="14">
        <v>1</v>
      </c>
      <c r="F41" s="14"/>
      <c r="G41" s="15"/>
      <c r="H41" s="15"/>
      <c r="I41" s="15"/>
      <c r="J41" s="15"/>
      <c r="K41" s="15"/>
      <c r="L41" s="15"/>
      <c r="M41" s="15"/>
      <c r="N41" s="14"/>
      <c r="O41" s="16"/>
      <c r="P41" s="9"/>
    </row>
    <row r="42" spans="2:16">
      <c r="B42" s="7">
        <v>40</v>
      </c>
      <c r="C42" s="8" t="s">
        <v>40</v>
      </c>
      <c r="D42" s="14"/>
      <c r="E42" s="14">
        <v>1</v>
      </c>
      <c r="F42" s="14"/>
      <c r="G42" s="15"/>
      <c r="H42" s="15"/>
      <c r="I42" s="15"/>
      <c r="J42" s="15"/>
      <c r="K42" s="15"/>
      <c r="L42" s="15"/>
      <c r="M42" s="15"/>
      <c r="N42" s="14"/>
      <c r="O42" s="16"/>
      <c r="P42" s="9"/>
    </row>
    <row r="43" spans="2:16">
      <c r="B43" s="7">
        <v>41</v>
      </c>
      <c r="C43" s="8" t="s">
        <v>39</v>
      </c>
      <c r="D43" s="14"/>
      <c r="E43" s="14">
        <v>1</v>
      </c>
      <c r="F43" s="14"/>
      <c r="G43" s="15"/>
      <c r="H43" s="15"/>
      <c r="I43" s="15"/>
      <c r="J43" s="15"/>
      <c r="K43" s="15"/>
      <c r="L43" s="15"/>
      <c r="M43" s="15"/>
      <c r="N43" s="14"/>
      <c r="O43" s="16"/>
      <c r="P43" s="9"/>
    </row>
    <row r="44" spans="2:16">
      <c r="B44" s="7">
        <v>42</v>
      </c>
      <c r="C44" s="8" t="s">
        <v>49</v>
      </c>
      <c r="D44" s="14"/>
      <c r="E44" s="14">
        <v>1</v>
      </c>
      <c r="F44" s="14"/>
      <c r="G44" s="15"/>
      <c r="H44" s="15"/>
      <c r="I44" s="15"/>
      <c r="J44" s="15"/>
      <c r="K44" s="15"/>
      <c r="L44" s="15"/>
      <c r="M44" s="15"/>
      <c r="N44" s="14"/>
      <c r="O44" s="16"/>
      <c r="P44" s="9"/>
    </row>
    <row r="45" spans="2:16">
      <c r="B45" s="7">
        <v>43</v>
      </c>
      <c r="C45" s="8" t="s">
        <v>50</v>
      </c>
      <c r="D45" s="14"/>
      <c r="E45" s="14">
        <v>1</v>
      </c>
      <c r="F45" s="14"/>
      <c r="G45" s="15"/>
      <c r="H45" s="15"/>
      <c r="I45" s="15"/>
      <c r="J45" s="15"/>
      <c r="K45" s="15"/>
      <c r="L45" s="15"/>
      <c r="M45" s="15"/>
      <c r="N45" s="14"/>
      <c r="O45" s="16"/>
      <c r="P45" s="9"/>
    </row>
    <row r="46" spans="2:16">
      <c r="B46" s="7">
        <v>44</v>
      </c>
      <c r="C46" s="8" t="s">
        <v>54</v>
      </c>
      <c r="D46" s="14"/>
      <c r="E46" s="14">
        <v>1</v>
      </c>
      <c r="F46" s="14"/>
      <c r="G46" s="15"/>
      <c r="H46" s="15"/>
      <c r="I46" s="15"/>
      <c r="J46" s="15"/>
      <c r="K46" s="15"/>
      <c r="L46" s="15"/>
      <c r="M46" s="15"/>
      <c r="N46" s="14"/>
      <c r="O46" s="16"/>
      <c r="P46" s="9"/>
    </row>
    <row r="47" spans="2:16">
      <c r="B47" s="7">
        <v>45</v>
      </c>
      <c r="C47" s="8" t="s">
        <v>35</v>
      </c>
      <c r="D47" s="14"/>
      <c r="E47" s="14">
        <v>1</v>
      </c>
      <c r="F47" s="14"/>
      <c r="G47" s="15"/>
      <c r="H47" s="15"/>
      <c r="I47" s="15"/>
      <c r="J47" s="15"/>
      <c r="K47" s="15"/>
      <c r="L47" s="15"/>
      <c r="M47" s="15"/>
      <c r="N47" s="14"/>
      <c r="O47" s="16"/>
      <c r="P47" s="9"/>
    </row>
    <row r="48" spans="2:16">
      <c r="B48" s="7">
        <v>46</v>
      </c>
      <c r="C48" s="8" t="s">
        <v>38</v>
      </c>
      <c r="D48" s="14"/>
      <c r="E48" s="14">
        <v>1</v>
      </c>
      <c r="F48" s="14"/>
      <c r="G48" s="15"/>
      <c r="H48" s="15"/>
      <c r="I48" s="15"/>
      <c r="J48" s="15"/>
      <c r="K48" s="15"/>
      <c r="L48" s="15"/>
      <c r="M48" s="15"/>
      <c r="N48" s="14"/>
      <c r="O48" s="16"/>
      <c r="P48" s="9"/>
    </row>
    <row r="49" spans="1:16" s="1" customFormat="1" ht="13">
      <c r="A49" s="1" t="e">
        <f>#REF!</f>
        <v>#REF!</v>
      </c>
      <c r="B49" s="10"/>
      <c r="C49" s="11" t="e">
        <f>#REF!</f>
        <v>#REF!</v>
      </c>
      <c r="D49" s="12">
        <v>0</v>
      </c>
      <c r="E49" s="12" t="e">
        <f>#REF!</f>
        <v>#REF!</v>
      </c>
      <c r="F49" s="11"/>
      <c r="G49" s="11"/>
      <c r="H49" s="11"/>
      <c r="I49" s="11"/>
      <c r="J49" s="11"/>
      <c r="K49" s="11"/>
      <c r="L49" s="11"/>
      <c r="M49" s="11"/>
      <c r="N49" s="11"/>
      <c r="O49" s="13"/>
      <c r="P49" s="9" t="e">
        <f>SUM(D49:O49)</f>
        <v>#REF!</v>
      </c>
    </row>
  </sheetData>
  <phoneticPr fontId="14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B2:BB64"/>
  <sheetViews>
    <sheetView workbookViewId="0">
      <pane ySplit="3" topLeftCell="A25" activePane="bottomLeft" state="frozen"/>
      <selection pane="bottomLeft" activeCell="BJ11" sqref="BJ11"/>
    </sheetView>
  </sheetViews>
  <sheetFormatPr defaultRowHeight="12.5"/>
  <cols>
    <col min="1" max="1" width="3" bestFit="1" customWidth="1"/>
    <col min="2" max="2" width="6.90625" bestFit="1" customWidth="1"/>
    <col min="3" max="37" width="3" customWidth="1"/>
    <col min="38" max="38" width="7.90625" customWidth="1"/>
    <col min="39" max="40" width="29" customWidth="1"/>
    <col min="41" max="41" width="8" customWidth="1"/>
    <col min="42" max="42" width="7.453125" customWidth="1"/>
    <col min="43" max="43" width="8" customWidth="1"/>
    <col min="44" max="44" width="7.36328125" customWidth="1"/>
    <col min="45" max="45" width="7.54296875" customWidth="1"/>
    <col min="46" max="46" width="7.6328125" customWidth="1"/>
    <col min="47" max="48" width="9.08984375" customWidth="1"/>
    <col min="49" max="49" width="9.08984375" style="2" customWidth="1"/>
    <col min="50" max="52" width="9.08984375" customWidth="1"/>
    <col min="54" max="54" width="10.08984375" bestFit="1" customWidth="1"/>
  </cols>
  <sheetData>
    <row r="2" spans="2:53" ht="20">
      <c r="AL2" s="3" t="s">
        <v>15</v>
      </c>
    </row>
    <row r="3" spans="2:53">
      <c r="AL3" s="4"/>
      <c r="AM3" s="5"/>
      <c r="AN3" s="5" t="s">
        <v>115</v>
      </c>
      <c r="AO3" s="5" t="s">
        <v>16</v>
      </c>
      <c r="AP3" s="5" t="s">
        <v>17</v>
      </c>
      <c r="AQ3" s="5" t="s">
        <v>18</v>
      </c>
      <c r="AR3" s="5" t="s">
        <v>19</v>
      </c>
      <c r="AS3" s="5" t="s">
        <v>20</v>
      </c>
      <c r="AT3" s="5" t="s">
        <v>21</v>
      </c>
      <c r="AU3" s="5" t="s">
        <v>22</v>
      </c>
      <c r="AV3" s="5" t="s">
        <v>23</v>
      </c>
      <c r="AW3" s="38" t="s">
        <v>24</v>
      </c>
      <c r="AX3" s="5" t="s">
        <v>25</v>
      </c>
      <c r="AY3" s="5" t="s">
        <v>26</v>
      </c>
      <c r="AZ3" s="6" t="s">
        <v>27</v>
      </c>
      <c r="BA3" s="6" t="s">
        <v>28</v>
      </c>
    </row>
    <row r="4" spans="2:53" s="26" customFormat="1">
      <c r="B4" s="26" t="e">
        <f>#REF!</f>
        <v>#REF!</v>
      </c>
      <c r="AL4" s="29">
        <v>1</v>
      </c>
      <c r="AM4" s="15" t="s">
        <v>1</v>
      </c>
      <c r="AN4" s="15"/>
      <c r="AO4" s="30"/>
      <c r="AP4" s="30"/>
      <c r="AQ4" s="30"/>
      <c r="AR4" s="15"/>
      <c r="AS4" s="15"/>
      <c r="AT4" s="15"/>
      <c r="AU4" s="15"/>
      <c r="AV4" s="15"/>
      <c r="AW4" s="44" t="e">
        <f>#REF!</f>
        <v>#REF!</v>
      </c>
      <c r="AX4" s="15"/>
      <c r="AY4" s="30"/>
      <c r="AZ4" s="16"/>
      <c r="BA4" s="45" t="e">
        <f t="shared" ref="BA4:BA13" si="0">SUM(AO4:AZ4)</f>
        <v>#REF!</v>
      </c>
    </row>
    <row r="5" spans="2:53" s="26" customFormat="1">
      <c r="B5" s="26" t="e">
        <f>#REF!</f>
        <v>#REF!</v>
      </c>
      <c r="AL5" s="29">
        <v>2</v>
      </c>
      <c r="AM5" s="15" t="s">
        <v>3</v>
      </c>
      <c r="AN5" s="15"/>
      <c r="AO5" s="30"/>
      <c r="AP5" s="30"/>
      <c r="AQ5" s="30"/>
      <c r="AR5" s="15"/>
      <c r="AS5" s="15"/>
      <c r="AT5" s="15"/>
      <c r="AU5" s="15"/>
      <c r="AV5" s="15"/>
      <c r="AW5" s="44"/>
      <c r="AX5" s="15"/>
      <c r="AY5" s="30"/>
      <c r="AZ5" s="16"/>
      <c r="BA5" s="45">
        <f t="shared" si="0"/>
        <v>0</v>
      </c>
    </row>
    <row r="6" spans="2:53" s="26" customFormat="1">
      <c r="B6" s="26" t="e">
        <f>#REF!</f>
        <v>#REF!</v>
      </c>
      <c r="AL6" s="29"/>
      <c r="AM6" s="15" t="s">
        <v>98</v>
      </c>
      <c r="AN6" s="15"/>
      <c r="AO6" s="30"/>
      <c r="AP6" s="30"/>
      <c r="AQ6" s="30"/>
      <c r="AR6" s="15"/>
      <c r="AS6" s="15">
        <v>1</v>
      </c>
      <c r="AT6" s="15"/>
      <c r="AU6" s="15"/>
      <c r="AV6" s="15"/>
      <c r="AW6" s="14">
        <v>2</v>
      </c>
      <c r="AX6" s="15">
        <v>1</v>
      </c>
      <c r="AY6" s="30">
        <v>1</v>
      </c>
      <c r="AZ6" s="16">
        <v>2</v>
      </c>
      <c r="BA6" s="45">
        <f t="shared" si="0"/>
        <v>7</v>
      </c>
    </row>
    <row r="7" spans="2:53" s="26" customFormat="1">
      <c r="B7" s="26" t="e">
        <f>#REF!</f>
        <v>#REF!</v>
      </c>
      <c r="AL7" s="29">
        <v>3</v>
      </c>
      <c r="AM7" s="15" t="s">
        <v>2</v>
      </c>
      <c r="AN7" s="15"/>
      <c r="AO7" s="27">
        <v>1</v>
      </c>
      <c r="AP7" s="27">
        <v>3</v>
      </c>
      <c r="AQ7" s="27">
        <v>1</v>
      </c>
      <c r="AR7" s="15">
        <v>1</v>
      </c>
      <c r="AS7" s="15">
        <v>1</v>
      </c>
      <c r="AT7" s="15">
        <v>2</v>
      </c>
      <c r="AU7" s="15"/>
      <c r="AV7" s="15">
        <v>1</v>
      </c>
      <c r="AW7" s="14"/>
      <c r="AX7" s="15"/>
      <c r="AY7" s="27"/>
      <c r="AZ7" s="16"/>
      <c r="BA7" s="45">
        <f t="shared" si="0"/>
        <v>10</v>
      </c>
    </row>
    <row r="8" spans="2:53" s="43" customFormat="1">
      <c r="B8" s="26" t="e">
        <f>#REF!</f>
        <v>#REF!</v>
      </c>
      <c r="AL8" s="46">
        <v>4</v>
      </c>
      <c r="AM8" s="36" t="s">
        <v>10</v>
      </c>
      <c r="AN8" s="36"/>
      <c r="AO8" s="35"/>
      <c r="AP8" s="35">
        <v>1</v>
      </c>
      <c r="AQ8" s="35">
        <v>1</v>
      </c>
      <c r="AR8" s="36">
        <v>1</v>
      </c>
      <c r="AS8" s="36">
        <v>2</v>
      </c>
      <c r="AT8" s="36">
        <v>2</v>
      </c>
      <c r="AU8" s="36"/>
      <c r="AV8" s="36">
        <v>3</v>
      </c>
      <c r="AW8" s="39"/>
      <c r="AX8" s="36">
        <v>1</v>
      </c>
      <c r="AY8" s="35"/>
      <c r="AZ8" s="37"/>
      <c r="BA8" s="47">
        <f t="shared" si="0"/>
        <v>11</v>
      </c>
    </row>
    <row r="9" spans="2:53" s="43" customFormat="1">
      <c r="B9" s="26" t="e">
        <f>#REF!</f>
        <v>#REF!</v>
      </c>
      <c r="AL9" s="46">
        <v>5</v>
      </c>
      <c r="AM9" s="36" t="s">
        <v>33</v>
      </c>
      <c r="AN9" s="36"/>
      <c r="AO9" s="35"/>
      <c r="AP9" s="35">
        <v>3</v>
      </c>
      <c r="AQ9" s="35"/>
      <c r="AR9" s="36">
        <v>1</v>
      </c>
      <c r="AS9" s="36">
        <v>6</v>
      </c>
      <c r="AT9" s="36">
        <v>3</v>
      </c>
      <c r="AU9" s="36"/>
      <c r="AV9" s="36"/>
      <c r="AW9" s="39"/>
      <c r="AX9" s="36"/>
      <c r="AY9" s="35"/>
      <c r="AZ9" s="37"/>
      <c r="BA9" s="47">
        <f t="shared" si="0"/>
        <v>13</v>
      </c>
    </row>
    <row r="10" spans="2:53" s="26" customFormat="1">
      <c r="B10" s="26" t="e">
        <f>#REF!</f>
        <v>#REF!</v>
      </c>
      <c r="AL10" s="29">
        <v>6</v>
      </c>
      <c r="AM10" s="15" t="s">
        <v>37</v>
      </c>
      <c r="AN10" s="15"/>
      <c r="AO10" s="27"/>
      <c r="AP10" s="27"/>
      <c r="AQ10" s="27"/>
      <c r="AR10" s="15"/>
      <c r="AS10" s="15"/>
      <c r="AT10" s="15"/>
      <c r="AU10" s="15"/>
      <c r="AV10" s="15"/>
      <c r="AW10" s="14"/>
      <c r="AX10" s="15"/>
      <c r="AY10" s="27"/>
      <c r="AZ10" s="16"/>
      <c r="BA10" s="45">
        <f t="shared" si="0"/>
        <v>0</v>
      </c>
    </row>
    <row r="11" spans="2:53" s="26" customFormat="1">
      <c r="B11" s="26" t="e">
        <f>#REF!</f>
        <v>#REF!</v>
      </c>
      <c r="AL11" s="29">
        <v>7</v>
      </c>
      <c r="AM11" s="15" t="s">
        <v>14</v>
      </c>
      <c r="AN11" s="15"/>
      <c r="AO11" s="30"/>
      <c r="AP11" s="30"/>
      <c r="AQ11" s="30"/>
      <c r="AR11" s="15"/>
      <c r="AS11" s="15"/>
      <c r="AT11" s="15"/>
      <c r="AU11" s="15"/>
      <c r="AV11" s="15"/>
      <c r="AW11" s="44"/>
      <c r="AX11" s="15"/>
      <c r="AY11" s="30"/>
      <c r="AZ11" s="16"/>
      <c r="BA11" s="45">
        <f t="shared" si="0"/>
        <v>0</v>
      </c>
    </row>
    <row r="12" spans="2:53" s="26" customFormat="1">
      <c r="B12" s="26" t="e">
        <f>#REF!</f>
        <v>#REF!</v>
      </c>
      <c r="AL12" s="29">
        <v>8</v>
      </c>
      <c r="AM12" s="15" t="s">
        <v>11</v>
      </c>
      <c r="AN12" s="15"/>
      <c r="AO12" s="27"/>
      <c r="AP12" s="27">
        <v>1</v>
      </c>
      <c r="AQ12" s="27"/>
      <c r="AR12" s="15"/>
      <c r="AS12" s="15"/>
      <c r="AT12" s="15"/>
      <c r="AU12" s="15"/>
      <c r="AV12" s="15">
        <v>1</v>
      </c>
      <c r="AW12" s="14"/>
      <c r="AX12" s="15"/>
      <c r="AY12" s="27"/>
      <c r="AZ12" s="16"/>
      <c r="BA12" s="45">
        <f t="shared" si="0"/>
        <v>2</v>
      </c>
    </row>
    <row r="13" spans="2:53" s="26" customFormat="1">
      <c r="B13" s="26" t="e">
        <f>#REF!</f>
        <v>#REF!</v>
      </c>
      <c r="AL13" s="29">
        <v>11</v>
      </c>
      <c r="AM13" s="15" t="s">
        <v>34</v>
      </c>
      <c r="AN13" s="15"/>
      <c r="AO13" s="27"/>
      <c r="AP13" s="27">
        <v>1</v>
      </c>
      <c r="AQ13" s="27"/>
      <c r="AR13" s="15">
        <v>2</v>
      </c>
      <c r="AS13" s="15"/>
      <c r="AT13" s="15">
        <v>1</v>
      </c>
      <c r="AU13" s="15"/>
      <c r="AV13" s="15"/>
      <c r="AW13" s="14"/>
      <c r="AX13" s="15">
        <v>1</v>
      </c>
      <c r="AY13" s="27"/>
      <c r="AZ13" s="16"/>
      <c r="BA13" s="45">
        <f t="shared" si="0"/>
        <v>5</v>
      </c>
    </row>
    <row r="14" spans="2:53" s="26" customFormat="1">
      <c r="B14" s="26" t="e">
        <f>#REF!</f>
        <v>#REF!</v>
      </c>
      <c r="AL14" s="29">
        <v>12</v>
      </c>
      <c r="AM14" s="15" t="s">
        <v>8</v>
      </c>
      <c r="AN14" s="15"/>
      <c r="AO14" s="30"/>
      <c r="AP14" s="30"/>
      <c r="AQ14" s="30"/>
      <c r="AR14" s="15"/>
      <c r="AS14" s="15"/>
      <c r="AT14" s="15"/>
      <c r="AU14" s="15"/>
      <c r="AV14" s="15"/>
      <c r="AW14" s="44"/>
      <c r="AX14" s="15"/>
      <c r="AY14" s="30"/>
      <c r="AZ14" s="16"/>
      <c r="BA14" s="45"/>
    </row>
    <row r="15" spans="2:53" s="26" customFormat="1">
      <c r="B15" s="26" t="e">
        <f>#REF!</f>
        <v>#REF!</v>
      </c>
      <c r="AL15" s="29">
        <v>13</v>
      </c>
      <c r="AM15" s="15" t="s">
        <v>41</v>
      </c>
      <c r="AN15" s="15"/>
      <c r="AO15" s="30"/>
      <c r="AP15" s="30"/>
      <c r="AQ15" s="30"/>
      <c r="AR15" s="15"/>
      <c r="AS15" s="15"/>
      <c r="AT15" s="15"/>
      <c r="AU15" s="15"/>
      <c r="AV15" s="15"/>
      <c r="AW15" s="44"/>
      <c r="AX15" s="15"/>
      <c r="AY15" s="30"/>
      <c r="AZ15" s="16"/>
      <c r="BA15" s="45"/>
    </row>
    <row r="16" spans="2:53" s="26" customFormat="1">
      <c r="B16" s="26" t="e">
        <f>#REF!</f>
        <v>#REF!</v>
      </c>
      <c r="AL16" s="29">
        <v>14</v>
      </c>
      <c r="AM16" s="15" t="s">
        <v>44</v>
      </c>
      <c r="AN16" s="15"/>
      <c r="AO16" s="27"/>
      <c r="AP16" s="27"/>
      <c r="AQ16" s="27"/>
      <c r="AR16" s="15"/>
      <c r="AS16" s="15"/>
      <c r="AT16" s="15"/>
      <c r="AU16" s="15"/>
      <c r="AV16" s="15">
        <v>3</v>
      </c>
      <c r="AW16" s="14">
        <v>7</v>
      </c>
      <c r="AX16" s="15"/>
      <c r="AY16" s="27"/>
      <c r="AZ16" s="16">
        <v>1</v>
      </c>
      <c r="BA16" s="45">
        <f>SUM(AO16:AZ16)</f>
        <v>11</v>
      </c>
    </row>
    <row r="17" spans="2:54" s="26" customFormat="1">
      <c r="B17" s="26" t="e">
        <f>#REF!</f>
        <v>#REF!</v>
      </c>
      <c r="AL17" s="29">
        <v>15</v>
      </c>
      <c r="AM17" s="15" t="s">
        <v>45</v>
      </c>
      <c r="AN17" s="15"/>
      <c r="AO17" s="30"/>
      <c r="AP17" s="30"/>
      <c r="AQ17" s="30"/>
      <c r="AR17" s="15"/>
      <c r="AS17" s="15"/>
      <c r="AT17" s="15"/>
      <c r="AU17" s="15"/>
      <c r="AV17" s="15"/>
      <c r="AW17" s="44"/>
      <c r="AX17" s="15"/>
      <c r="AY17" s="30"/>
      <c r="AZ17" s="16"/>
      <c r="BA17" s="45"/>
    </row>
    <row r="18" spans="2:54" s="26" customFormat="1">
      <c r="B18" s="26" t="e">
        <f>#REF!</f>
        <v>#REF!</v>
      </c>
      <c r="AL18" s="29">
        <v>16</v>
      </c>
      <c r="AM18" s="15" t="s">
        <v>57</v>
      </c>
      <c r="AN18" s="15"/>
      <c r="AO18" s="27"/>
      <c r="AP18" s="27"/>
      <c r="AQ18" s="27"/>
      <c r="AR18" s="15"/>
      <c r="AS18" s="15"/>
      <c r="AT18" s="15"/>
      <c r="AU18" s="15"/>
      <c r="AV18" s="15"/>
      <c r="AW18" s="14"/>
      <c r="AX18" s="15"/>
      <c r="AY18" s="27"/>
      <c r="AZ18" s="16"/>
      <c r="BA18" s="45">
        <f>SUM(AO18:AZ18)</f>
        <v>0</v>
      </c>
    </row>
    <row r="19" spans="2:54" s="26" customFormat="1">
      <c r="B19" s="26" t="e">
        <f>#REF!</f>
        <v>#REF!</v>
      </c>
      <c r="AL19" s="29">
        <v>17</v>
      </c>
      <c r="AM19" s="15" t="s">
        <v>12</v>
      </c>
      <c r="AN19" s="15"/>
      <c r="AO19" s="27"/>
      <c r="AP19" s="27">
        <v>1</v>
      </c>
      <c r="AQ19" s="27"/>
      <c r="AR19" s="15"/>
      <c r="AS19" s="15">
        <v>2</v>
      </c>
      <c r="AT19" s="15"/>
      <c r="AU19" s="15"/>
      <c r="AV19" s="15"/>
      <c r="AW19" s="14"/>
      <c r="AX19" s="15"/>
      <c r="AY19" s="27"/>
      <c r="AZ19" s="16">
        <v>6</v>
      </c>
      <c r="BA19" s="45">
        <f>SUM(AO19:AZ19)</f>
        <v>9</v>
      </c>
    </row>
    <row r="20" spans="2:54" s="43" customFormat="1">
      <c r="B20" s="26" t="e">
        <f>#REF!</f>
        <v>#REF!</v>
      </c>
      <c r="AL20" s="46">
        <v>18</v>
      </c>
      <c r="AM20" s="36" t="s">
        <v>36</v>
      </c>
      <c r="AN20" s="36"/>
      <c r="AO20" s="35">
        <v>1</v>
      </c>
      <c r="AP20" s="35">
        <v>1</v>
      </c>
      <c r="AQ20" s="35">
        <v>1</v>
      </c>
      <c r="AR20" s="36">
        <v>1</v>
      </c>
      <c r="AS20" s="36">
        <v>2</v>
      </c>
      <c r="AT20" s="36">
        <v>3</v>
      </c>
      <c r="AU20" s="36">
        <v>4</v>
      </c>
      <c r="AV20" s="36"/>
      <c r="AW20" s="39"/>
      <c r="AX20" s="36"/>
      <c r="AY20" s="35"/>
      <c r="AZ20" s="37"/>
      <c r="BA20" s="47">
        <f>SUM(AO20:AZ20)</f>
        <v>13</v>
      </c>
    </row>
    <row r="21" spans="2:54" s="26" customFormat="1">
      <c r="B21" s="26" t="e">
        <f>#REF!</f>
        <v>#REF!</v>
      </c>
      <c r="AL21" s="29">
        <v>19</v>
      </c>
      <c r="AM21" s="15" t="s">
        <v>48</v>
      </c>
      <c r="AN21" s="15"/>
      <c r="AO21" s="30"/>
      <c r="AP21" s="30"/>
      <c r="AQ21" s="30"/>
      <c r="AR21" s="15"/>
      <c r="AS21" s="15"/>
      <c r="AT21" s="15"/>
      <c r="AU21" s="15"/>
      <c r="AV21" s="15"/>
      <c r="AW21" s="44"/>
      <c r="AX21" s="15"/>
      <c r="AY21" s="30"/>
      <c r="AZ21" s="16"/>
      <c r="BA21" s="45"/>
    </row>
    <row r="22" spans="2:54">
      <c r="B22" s="26" t="e">
        <f>#REF!</f>
        <v>#REF!</v>
      </c>
      <c r="AL22" s="7">
        <v>20</v>
      </c>
      <c r="AM22" s="8" t="s">
        <v>46</v>
      </c>
      <c r="AN22" s="8"/>
      <c r="AO22" s="27"/>
      <c r="AP22" s="27">
        <v>1</v>
      </c>
      <c r="AQ22" s="27"/>
      <c r="AR22" s="15"/>
      <c r="AS22" s="15"/>
      <c r="AT22" s="15"/>
      <c r="AU22" s="15"/>
      <c r="AV22" s="15">
        <v>1</v>
      </c>
      <c r="AW22" s="14">
        <v>1</v>
      </c>
      <c r="AX22" s="15">
        <v>1</v>
      </c>
      <c r="AY22" s="27"/>
      <c r="AZ22" s="16"/>
      <c r="BA22" s="9">
        <f>SUM(AO22:AZ22)</f>
        <v>4</v>
      </c>
    </row>
    <row r="23" spans="2:54" s="32" customFormat="1">
      <c r="B23" s="26" t="e">
        <f>#REF!</f>
        <v>#REF!</v>
      </c>
      <c r="AL23" s="33">
        <v>22</v>
      </c>
      <c r="AM23" s="34" t="s">
        <v>51</v>
      </c>
      <c r="AN23" s="34"/>
      <c r="AO23" s="35"/>
      <c r="AP23" s="35">
        <v>1</v>
      </c>
      <c r="AQ23" s="35"/>
      <c r="AR23" s="36"/>
      <c r="AS23" s="36"/>
      <c r="AT23" s="36"/>
      <c r="AU23" s="36"/>
      <c r="AV23" s="36"/>
      <c r="AW23" s="39">
        <v>10</v>
      </c>
      <c r="AX23" s="36">
        <v>1</v>
      </c>
      <c r="AY23" s="35"/>
      <c r="AZ23" s="37"/>
      <c r="BA23" s="31">
        <f t="shared" ref="BA23:BA39" si="1">SUM(AO23:AZ23)</f>
        <v>12</v>
      </c>
    </row>
    <row r="24" spans="2:54">
      <c r="B24" s="26" t="e">
        <f>#REF!</f>
        <v>#REF!</v>
      </c>
      <c r="AL24" s="7">
        <v>23</v>
      </c>
      <c r="AM24" s="8" t="s">
        <v>60</v>
      </c>
      <c r="AN24" s="8"/>
      <c r="AO24" s="27"/>
      <c r="AP24" s="27">
        <v>2</v>
      </c>
      <c r="AQ24" s="27"/>
      <c r="AR24" s="15"/>
      <c r="AS24" s="15"/>
      <c r="AT24" s="15">
        <v>1</v>
      </c>
      <c r="AU24" s="15"/>
      <c r="AV24" s="15">
        <v>3</v>
      </c>
      <c r="AW24" s="14"/>
      <c r="AX24" s="15"/>
      <c r="AY24" s="27"/>
      <c r="AZ24" s="16">
        <v>1</v>
      </c>
      <c r="BA24" s="9">
        <f t="shared" si="1"/>
        <v>7</v>
      </c>
    </row>
    <row r="25" spans="2:54">
      <c r="B25" s="26" t="e">
        <f>#REF!</f>
        <v>#REF!</v>
      </c>
      <c r="AL25" s="7">
        <v>28</v>
      </c>
      <c r="AM25" s="8" t="s">
        <v>101</v>
      </c>
      <c r="AN25" s="8"/>
      <c r="AO25" s="27"/>
      <c r="AP25" s="27">
        <v>1</v>
      </c>
      <c r="AQ25" s="27"/>
      <c r="AR25" s="15"/>
      <c r="AS25" s="15">
        <v>1</v>
      </c>
      <c r="AT25" s="15"/>
      <c r="AU25" s="15"/>
      <c r="AV25" s="15">
        <v>1</v>
      </c>
      <c r="AW25" s="14">
        <v>1</v>
      </c>
      <c r="AX25" s="15">
        <v>1</v>
      </c>
      <c r="AY25" s="27">
        <v>1</v>
      </c>
      <c r="AZ25" s="16"/>
      <c r="BA25" s="9">
        <f t="shared" si="1"/>
        <v>6</v>
      </c>
    </row>
    <row r="26" spans="2:54">
      <c r="B26" s="26" t="e">
        <f>#REF!</f>
        <v>#REF!</v>
      </c>
      <c r="AL26" s="7">
        <v>29</v>
      </c>
      <c r="AM26" s="8" t="s">
        <v>30</v>
      </c>
      <c r="AN26" s="8"/>
      <c r="AO26" s="27"/>
      <c r="AP26" s="27">
        <v>1</v>
      </c>
      <c r="AQ26" s="27"/>
      <c r="AR26" s="15"/>
      <c r="AS26" s="15"/>
      <c r="AT26" s="15"/>
      <c r="AU26" s="15"/>
      <c r="AV26" s="15"/>
      <c r="AW26" s="14">
        <v>3</v>
      </c>
      <c r="AX26" s="15"/>
      <c r="AY26" s="27"/>
      <c r="AZ26" s="16"/>
      <c r="BA26" s="9">
        <f t="shared" si="1"/>
        <v>4</v>
      </c>
    </row>
    <row r="27" spans="2:54">
      <c r="B27" s="26" t="e">
        <f>#REF!</f>
        <v>#REF!</v>
      </c>
      <c r="AL27" s="7">
        <v>30</v>
      </c>
      <c r="AM27" s="8" t="s">
        <v>11</v>
      </c>
      <c r="AN27" s="8"/>
      <c r="AO27" s="27"/>
      <c r="AP27" s="27">
        <v>1</v>
      </c>
      <c r="AQ27" s="27"/>
      <c r="AR27" s="15"/>
      <c r="AS27" s="15"/>
      <c r="AT27" s="15"/>
      <c r="AU27" s="15"/>
      <c r="AV27" s="15"/>
      <c r="AW27" s="14"/>
      <c r="AX27" s="15"/>
      <c r="AY27" s="27"/>
      <c r="AZ27" s="16"/>
      <c r="BA27" s="9">
        <f t="shared" si="1"/>
        <v>1</v>
      </c>
    </row>
    <row r="28" spans="2:54">
      <c r="B28" s="26" t="e">
        <f>#REF!</f>
        <v>#REF!</v>
      </c>
      <c r="AL28" s="7">
        <v>31</v>
      </c>
      <c r="AM28" s="8" t="s">
        <v>61</v>
      </c>
      <c r="AN28" s="8"/>
      <c r="AO28" s="27"/>
      <c r="AP28" s="27"/>
      <c r="AQ28" s="27"/>
      <c r="AR28" s="15"/>
      <c r="AS28" s="15"/>
      <c r="AT28" s="15"/>
      <c r="AU28" s="15"/>
      <c r="AV28" s="15"/>
      <c r="AW28" s="14"/>
      <c r="AX28" s="15"/>
      <c r="AY28" s="27"/>
      <c r="AZ28" s="16"/>
      <c r="BA28" s="9">
        <f t="shared" si="1"/>
        <v>0</v>
      </c>
    </row>
    <row r="29" spans="2:54">
      <c r="B29" s="26" t="e">
        <f>#REF!</f>
        <v>#REF!</v>
      </c>
      <c r="AL29" s="7">
        <v>33</v>
      </c>
      <c r="AM29" s="8" t="s">
        <v>62</v>
      </c>
      <c r="AN29" s="8"/>
      <c r="AO29" s="27"/>
      <c r="AP29" s="27"/>
      <c r="AQ29" s="27"/>
      <c r="AR29" s="15"/>
      <c r="AS29" s="15"/>
      <c r="AT29" s="15"/>
      <c r="AU29" s="15"/>
      <c r="AV29" s="15"/>
      <c r="AW29" s="14"/>
      <c r="AX29" s="15"/>
      <c r="AY29" s="27"/>
      <c r="AZ29" s="16"/>
      <c r="BA29" s="9">
        <f t="shared" si="1"/>
        <v>0</v>
      </c>
    </row>
    <row r="30" spans="2:54">
      <c r="B30" s="26" t="e">
        <f>#REF!</f>
        <v>#REF!</v>
      </c>
      <c r="AL30" s="7">
        <v>35</v>
      </c>
      <c r="AM30" s="8" t="s">
        <v>64</v>
      </c>
      <c r="AN30" s="8"/>
      <c r="AO30" s="27"/>
      <c r="AP30" s="27"/>
      <c r="AQ30" s="27"/>
      <c r="AR30" s="15"/>
      <c r="AS30" s="15"/>
      <c r="AT30" s="15"/>
      <c r="AU30" s="15"/>
      <c r="AV30" s="15"/>
      <c r="AW30" s="14"/>
      <c r="AX30" s="15"/>
      <c r="AY30" s="27"/>
      <c r="AZ30" s="16"/>
      <c r="BA30" s="9">
        <f t="shared" si="1"/>
        <v>0</v>
      </c>
    </row>
    <row r="31" spans="2:54">
      <c r="B31" s="26" t="e">
        <f>#REF!</f>
        <v>#REF!</v>
      </c>
      <c r="AL31" s="7">
        <v>36</v>
      </c>
      <c r="AM31" s="8" t="s">
        <v>53</v>
      </c>
      <c r="AN31" s="8"/>
      <c r="AO31" s="27"/>
      <c r="AP31" s="27">
        <v>1</v>
      </c>
      <c r="AQ31" s="27"/>
      <c r="AR31" s="15">
        <v>2</v>
      </c>
      <c r="AS31" s="15">
        <v>1</v>
      </c>
      <c r="AT31" s="15"/>
      <c r="AU31" s="15">
        <v>1</v>
      </c>
      <c r="AV31" s="15">
        <v>1</v>
      </c>
      <c r="AW31" s="14"/>
      <c r="AX31" s="15"/>
      <c r="AY31" s="27"/>
      <c r="AZ31" s="16"/>
      <c r="BA31" s="9">
        <f t="shared" si="1"/>
        <v>6</v>
      </c>
    </row>
    <row r="32" spans="2:54">
      <c r="B32" s="26" t="e">
        <f>#REF!</f>
        <v>#REF!</v>
      </c>
      <c r="AL32" s="7">
        <v>40</v>
      </c>
      <c r="AM32" s="8" t="s">
        <v>40</v>
      </c>
      <c r="AN32" s="8"/>
      <c r="AO32" s="27"/>
      <c r="AP32" s="27">
        <v>1</v>
      </c>
      <c r="AQ32" s="27"/>
      <c r="AR32" s="15"/>
      <c r="AS32" s="15"/>
      <c r="AT32" s="15"/>
      <c r="AU32" s="15"/>
      <c r="AV32" s="15"/>
      <c r="AW32" s="14">
        <v>1</v>
      </c>
      <c r="AX32" s="15"/>
      <c r="AY32" s="27">
        <v>1</v>
      </c>
      <c r="AZ32" s="16">
        <v>1</v>
      </c>
      <c r="BA32" s="9">
        <f t="shared" si="1"/>
        <v>4</v>
      </c>
      <c r="BB32" s="42" t="s">
        <v>105</v>
      </c>
    </row>
    <row r="33" spans="2:54">
      <c r="B33" s="26" t="e">
        <f>#REF!</f>
        <v>#REF!</v>
      </c>
      <c r="AL33" s="7">
        <v>41</v>
      </c>
      <c r="AM33" s="8" t="s">
        <v>39</v>
      </c>
      <c r="AN33" s="8"/>
      <c r="AO33" s="27"/>
      <c r="AP33" s="27">
        <v>1</v>
      </c>
      <c r="AQ33" s="27"/>
      <c r="AR33" s="15"/>
      <c r="AS33" s="15"/>
      <c r="AT33" s="15"/>
      <c r="AU33" s="15">
        <v>1</v>
      </c>
      <c r="AV33" s="15">
        <v>1</v>
      </c>
      <c r="AW33" s="14"/>
      <c r="AX33" s="15">
        <v>2</v>
      </c>
      <c r="AY33" s="27">
        <v>4</v>
      </c>
      <c r="AZ33" s="16">
        <v>1</v>
      </c>
      <c r="BA33" s="9">
        <f t="shared" si="1"/>
        <v>10</v>
      </c>
      <c r="BB33" s="41" t="s">
        <v>103</v>
      </c>
    </row>
    <row r="34" spans="2:54">
      <c r="B34" s="26" t="e">
        <f>#REF!</f>
        <v>#REF!</v>
      </c>
      <c r="AL34" s="7">
        <v>42</v>
      </c>
      <c r="AM34" s="8" t="s">
        <v>49</v>
      </c>
      <c r="AN34" s="8"/>
      <c r="AO34" s="27"/>
      <c r="AP34" s="27">
        <v>1</v>
      </c>
      <c r="AQ34" s="27"/>
      <c r="AR34" s="15">
        <v>1</v>
      </c>
      <c r="AS34" s="15"/>
      <c r="AT34" s="15"/>
      <c r="AU34" s="15"/>
      <c r="AV34" s="15"/>
      <c r="AW34" s="14"/>
      <c r="AX34" s="15"/>
      <c r="AY34" s="27"/>
      <c r="AZ34" s="16">
        <v>1</v>
      </c>
      <c r="BA34" s="9">
        <f t="shared" si="1"/>
        <v>3</v>
      </c>
      <c r="BB34" s="40" t="s">
        <v>104</v>
      </c>
    </row>
    <row r="35" spans="2:54">
      <c r="B35" s="26" t="e">
        <f>#REF!</f>
        <v>#REF!</v>
      </c>
      <c r="AL35" s="7">
        <v>43</v>
      </c>
      <c r="AM35" s="8" t="s">
        <v>50</v>
      </c>
      <c r="AN35" s="8"/>
      <c r="AO35" s="27"/>
      <c r="AP35" s="27">
        <v>1</v>
      </c>
      <c r="AQ35" s="27"/>
      <c r="AR35" s="15"/>
      <c r="AS35" s="15">
        <v>1</v>
      </c>
      <c r="AT35" s="15"/>
      <c r="AU35" s="15"/>
      <c r="AV35" s="15"/>
      <c r="AW35" s="14"/>
      <c r="AX35" s="15"/>
      <c r="AY35" s="27"/>
      <c r="AZ35" s="16">
        <v>1</v>
      </c>
      <c r="BA35" s="9">
        <f t="shared" si="1"/>
        <v>3</v>
      </c>
      <c r="BB35" s="40" t="s">
        <v>104</v>
      </c>
    </row>
    <row r="36" spans="2:54">
      <c r="B36" s="26" t="e">
        <f>#REF!</f>
        <v>#REF!</v>
      </c>
      <c r="AL36" s="7">
        <v>44</v>
      </c>
      <c r="AM36" s="8" t="s">
        <v>54</v>
      </c>
      <c r="AN36" s="8"/>
      <c r="AO36" s="27"/>
      <c r="AP36" s="27">
        <v>1</v>
      </c>
      <c r="AQ36" s="27"/>
      <c r="AR36" s="15"/>
      <c r="AS36" s="15"/>
      <c r="AT36" s="15"/>
      <c r="AU36" s="15"/>
      <c r="AV36" s="15"/>
      <c r="AW36" s="14"/>
      <c r="AX36" s="15"/>
      <c r="AY36" s="27">
        <v>1</v>
      </c>
      <c r="AZ36" s="16"/>
      <c r="BA36" s="9">
        <f t="shared" si="1"/>
        <v>2</v>
      </c>
      <c r="BB36" s="40" t="s">
        <v>106</v>
      </c>
    </row>
    <row r="37" spans="2:54">
      <c r="B37" s="26" t="e">
        <f>#REF!</f>
        <v>#REF!</v>
      </c>
      <c r="AL37" s="7">
        <v>45</v>
      </c>
      <c r="AM37" s="8" t="s">
        <v>35</v>
      </c>
      <c r="AN37" s="8"/>
      <c r="AO37" s="27"/>
      <c r="AP37" s="27">
        <v>1</v>
      </c>
      <c r="AQ37" s="27"/>
      <c r="AR37" s="15"/>
      <c r="AS37" s="15"/>
      <c r="AT37" s="15"/>
      <c r="AU37" s="15"/>
      <c r="AV37" s="15"/>
      <c r="AW37" s="14"/>
      <c r="AX37" s="15"/>
      <c r="AY37" s="27"/>
      <c r="AZ37" s="16"/>
      <c r="BA37" s="9">
        <f t="shared" si="1"/>
        <v>1</v>
      </c>
      <c r="BB37" s="40" t="s">
        <v>107</v>
      </c>
    </row>
    <row r="38" spans="2:54">
      <c r="B38" s="26" t="e">
        <f>#REF!</f>
        <v>#REF!</v>
      </c>
      <c r="AL38" s="7">
        <v>46</v>
      </c>
      <c r="AM38" s="8" t="s">
        <v>38</v>
      </c>
      <c r="AN38" s="8"/>
      <c r="AO38" s="27"/>
      <c r="AP38" s="27">
        <v>1</v>
      </c>
      <c r="AQ38" s="27"/>
      <c r="AR38" s="15"/>
      <c r="AS38" s="15"/>
      <c r="AT38" s="15"/>
      <c r="AU38" s="15"/>
      <c r="AV38" s="15"/>
      <c r="AW38" s="14"/>
      <c r="AX38" s="15"/>
      <c r="AY38" s="27"/>
      <c r="AZ38" s="16"/>
      <c r="BA38" s="9">
        <f t="shared" si="1"/>
        <v>1</v>
      </c>
      <c r="BB38" s="40" t="s">
        <v>108</v>
      </c>
    </row>
    <row r="39" spans="2:54" s="1" customFormat="1" ht="13">
      <c r="B39" s="26" t="e">
        <f>#REF!</f>
        <v>#REF!</v>
      </c>
      <c r="AL39" s="10"/>
      <c r="AM39" s="11" t="str">
        <f>'[2]Luong VP'!C26</f>
        <v>Toång coäng</v>
      </c>
      <c r="AN39" s="11"/>
      <c r="AO39" s="28">
        <v>0</v>
      </c>
      <c r="AP39" s="28">
        <f>'[2]Cham cong'!AL55</f>
        <v>0</v>
      </c>
      <c r="AQ39" s="11"/>
      <c r="AR39" s="11"/>
      <c r="AS39" s="11"/>
      <c r="AT39" s="11"/>
      <c r="AU39" s="11"/>
      <c r="AV39" s="11"/>
      <c r="AW39" s="12"/>
      <c r="AX39" s="11"/>
      <c r="AY39" s="11"/>
      <c r="AZ39" s="13"/>
      <c r="BA39" s="9">
        <f t="shared" si="1"/>
        <v>0</v>
      </c>
    </row>
    <row r="40" spans="2:54">
      <c r="B40" s="26" t="e">
        <f>#REF!</f>
        <v>#REF!</v>
      </c>
    </row>
    <row r="41" spans="2:54">
      <c r="B41" s="26" t="e">
        <f>#REF!</f>
        <v>#REF!</v>
      </c>
    </row>
    <row r="42" spans="2:54">
      <c r="B42" s="26" t="e">
        <f>#REF!</f>
        <v>#REF!</v>
      </c>
    </row>
    <row r="43" spans="2:54">
      <c r="B43" s="26" t="e">
        <f>#REF!</f>
        <v>#REF!</v>
      </c>
    </row>
    <row r="44" spans="2:54">
      <c r="B44" s="26" t="e">
        <f>#REF!</f>
        <v>#REF!</v>
      </c>
    </row>
    <row r="45" spans="2:54">
      <c r="B45" s="26" t="e">
        <f>#REF!</f>
        <v>#REF!</v>
      </c>
    </row>
    <row r="46" spans="2:54">
      <c r="B46" s="26" t="e">
        <f>#REF!</f>
        <v>#REF!</v>
      </c>
    </row>
    <row r="47" spans="2:54">
      <c r="B47" s="26" t="e">
        <f>#REF!</f>
        <v>#REF!</v>
      </c>
    </row>
    <row r="48" spans="2:54">
      <c r="B48" s="26" t="e">
        <f>#REF!</f>
        <v>#REF!</v>
      </c>
    </row>
    <row r="49" spans="2:2">
      <c r="B49" s="26" t="e">
        <f>#REF!</f>
        <v>#REF!</v>
      </c>
    </row>
    <row r="50" spans="2:2">
      <c r="B50" s="26" t="e">
        <f>#REF!</f>
        <v>#REF!</v>
      </c>
    </row>
    <row r="51" spans="2:2">
      <c r="B51" s="26" t="e">
        <f>#REF!</f>
        <v>#REF!</v>
      </c>
    </row>
    <row r="52" spans="2:2">
      <c r="B52" s="26" t="e">
        <f>#REF!</f>
        <v>#REF!</v>
      </c>
    </row>
    <row r="53" spans="2:2">
      <c r="B53" s="26" t="e">
        <f>#REF!</f>
        <v>#REF!</v>
      </c>
    </row>
    <row r="54" spans="2:2">
      <c r="B54" s="26" t="e">
        <f>#REF!</f>
        <v>#REF!</v>
      </c>
    </row>
    <row r="55" spans="2:2">
      <c r="B55" s="26" t="e">
        <f>#REF!</f>
        <v>#REF!</v>
      </c>
    </row>
    <row r="56" spans="2:2">
      <c r="B56" s="26"/>
    </row>
    <row r="57" spans="2:2">
      <c r="B57" s="26"/>
    </row>
    <row r="58" spans="2:2">
      <c r="B58" s="26"/>
    </row>
    <row r="59" spans="2:2">
      <c r="B59" s="26"/>
    </row>
    <row r="60" spans="2:2">
      <c r="B60" s="26"/>
    </row>
    <row r="61" spans="2:2">
      <c r="B61" s="26"/>
    </row>
    <row r="62" spans="2:2">
      <c r="B62" s="26"/>
    </row>
    <row r="63" spans="2:2">
      <c r="B63" s="26"/>
    </row>
    <row r="64" spans="2:2">
      <c r="B64" s="26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Z122"/>
  <sheetViews>
    <sheetView workbookViewId="0">
      <pane xSplit="5" ySplit="4" topLeftCell="AK8" activePane="bottomRight" state="frozen"/>
      <selection pane="topRight" activeCell="E1" sqref="E1"/>
      <selection pane="bottomLeft" activeCell="A5" sqref="A5"/>
      <selection pane="bottomRight" activeCell="AR27" sqref="AR27"/>
    </sheetView>
  </sheetViews>
  <sheetFormatPr defaultColWidth="9.08984375" defaultRowHeight="13"/>
  <cols>
    <col min="1" max="1" width="3" style="18" bestFit="1" customWidth="1"/>
    <col min="2" max="2" width="19" style="18" customWidth="1"/>
    <col min="3" max="3" width="11.08984375" style="18" customWidth="1"/>
    <col min="4" max="4" width="4.08984375" style="18" bestFit="1" customWidth="1"/>
    <col min="5" max="5" width="9.90625" style="92" customWidth="1"/>
    <col min="6" max="6" width="4.36328125" style="18" bestFit="1" customWidth="1"/>
    <col min="7" max="7" width="5.90625" style="18" bestFit="1" customWidth="1"/>
    <col min="8" max="8" width="5" style="18" bestFit="1" customWidth="1"/>
    <col min="9" max="20" width="3.6328125" style="18" customWidth="1"/>
    <col min="21" max="21" width="1.453125" style="76" customWidth="1"/>
    <col min="22" max="29" width="3.6328125" style="18" customWidth="1"/>
    <col min="30" max="30" width="3.6328125" style="112" customWidth="1"/>
    <col min="31" max="33" width="3.6328125" style="18" customWidth="1"/>
    <col min="34" max="34" width="3.6328125" style="88" customWidth="1"/>
    <col min="35" max="35" width="7.6328125" style="18" customWidth="1"/>
    <col min="36" max="36" width="7.54296875" style="18" customWidth="1"/>
    <col min="37" max="37" width="7.6328125" style="18" customWidth="1"/>
    <col min="38" max="38" width="2.08984375" style="134" customWidth="1"/>
    <col min="39" max="50" width="3.6328125" style="127" customWidth="1"/>
    <col min="51" max="51" width="3.6328125" style="88" customWidth="1"/>
    <col min="52" max="52" width="7" style="18" customWidth="1"/>
    <col min="53" max="16384" width="9.08984375" style="18"/>
  </cols>
  <sheetData>
    <row r="1" spans="1:52" ht="15.5">
      <c r="A1" s="58">
        <v>12</v>
      </c>
      <c r="B1" s="626" t="s">
        <v>169</v>
      </c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  <c r="P1" s="626"/>
      <c r="Q1" s="626"/>
      <c r="R1" s="626"/>
      <c r="S1" s="626"/>
      <c r="T1" s="626"/>
      <c r="U1" s="626"/>
      <c r="V1" s="626"/>
      <c r="W1" s="626"/>
      <c r="X1" s="626"/>
      <c r="Y1" s="626"/>
      <c r="Z1" s="626"/>
      <c r="AA1" s="626"/>
      <c r="AB1" s="626"/>
      <c r="AC1" s="626"/>
      <c r="AD1" s="626"/>
      <c r="AE1" s="626"/>
      <c r="AF1" s="626"/>
      <c r="AG1" s="626"/>
      <c r="AH1" s="626"/>
      <c r="AI1" s="626"/>
      <c r="AJ1" s="626"/>
      <c r="AK1" s="626"/>
      <c r="AL1" s="133"/>
      <c r="AY1" s="18"/>
    </row>
    <row r="2" spans="1:52"/>
    <row r="3" spans="1:52">
      <c r="F3" s="627" t="s">
        <v>173</v>
      </c>
      <c r="G3" s="627"/>
      <c r="H3" s="627"/>
      <c r="I3" s="628">
        <v>2015</v>
      </c>
      <c r="J3" s="629"/>
      <c r="K3" s="629"/>
      <c r="L3" s="629"/>
      <c r="M3" s="629"/>
      <c r="N3" s="629"/>
      <c r="O3" s="629"/>
      <c r="P3" s="629"/>
      <c r="Q3" s="629"/>
      <c r="R3" s="629"/>
      <c r="S3" s="629"/>
      <c r="T3" s="630"/>
      <c r="U3" s="56"/>
      <c r="V3" s="631">
        <v>2016</v>
      </c>
      <c r="W3" s="632"/>
      <c r="X3" s="632"/>
      <c r="Y3" s="632"/>
      <c r="Z3" s="632"/>
      <c r="AA3" s="632"/>
      <c r="AB3" s="632"/>
      <c r="AC3" s="632"/>
      <c r="AD3" s="632"/>
      <c r="AE3" s="632"/>
      <c r="AF3" s="632"/>
      <c r="AG3" s="633"/>
      <c r="AH3" s="80"/>
      <c r="AI3" s="634" t="s">
        <v>167</v>
      </c>
      <c r="AJ3" s="636" t="s">
        <v>174</v>
      </c>
      <c r="AK3" s="634" t="s">
        <v>168</v>
      </c>
      <c r="AL3" s="135"/>
      <c r="AM3" s="623">
        <v>2017</v>
      </c>
      <c r="AN3" s="624"/>
      <c r="AO3" s="624"/>
      <c r="AP3" s="624"/>
      <c r="AQ3" s="624"/>
      <c r="AR3" s="624"/>
      <c r="AS3" s="624"/>
      <c r="AT3" s="624"/>
      <c r="AU3" s="624"/>
      <c r="AV3" s="624"/>
      <c r="AW3" s="624"/>
      <c r="AX3" s="625"/>
      <c r="AY3" s="80"/>
    </row>
    <row r="4" spans="1:52">
      <c r="B4" s="59" t="s">
        <v>149</v>
      </c>
      <c r="C4" s="60" t="s">
        <v>166</v>
      </c>
      <c r="D4" s="60" t="s">
        <v>215</v>
      </c>
      <c r="E4" s="156" t="s">
        <v>214</v>
      </c>
      <c r="F4" s="61" t="s">
        <v>170</v>
      </c>
      <c r="G4" s="61" t="s">
        <v>171</v>
      </c>
      <c r="H4" s="61" t="s">
        <v>172</v>
      </c>
      <c r="I4" s="62">
        <v>1</v>
      </c>
      <c r="J4" s="62">
        <v>2</v>
      </c>
      <c r="K4" s="62">
        <v>3</v>
      </c>
      <c r="L4" s="62">
        <v>4</v>
      </c>
      <c r="M4" s="62">
        <v>5</v>
      </c>
      <c r="N4" s="62">
        <v>6</v>
      </c>
      <c r="O4" s="62">
        <v>7</v>
      </c>
      <c r="P4" s="62">
        <v>8</v>
      </c>
      <c r="Q4" s="62">
        <v>9</v>
      </c>
      <c r="R4" s="62">
        <v>10</v>
      </c>
      <c r="S4" s="62">
        <v>11</v>
      </c>
      <c r="T4" s="62">
        <v>12</v>
      </c>
      <c r="U4" s="63"/>
      <c r="V4" s="64">
        <v>1</v>
      </c>
      <c r="W4" s="64">
        <v>2</v>
      </c>
      <c r="X4" s="64">
        <v>3</v>
      </c>
      <c r="Y4" s="64">
        <v>4</v>
      </c>
      <c r="Z4" s="64">
        <v>5</v>
      </c>
      <c r="AA4" s="64">
        <v>6</v>
      </c>
      <c r="AB4" s="64">
        <v>7</v>
      </c>
      <c r="AC4" s="64">
        <v>8</v>
      </c>
      <c r="AD4" s="62">
        <v>9</v>
      </c>
      <c r="AE4" s="64">
        <v>10</v>
      </c>
      <c r="AF4" s="64">
        <v>11</v>
      </c>
      <c r="AG4" s="64">
        <v>12</v>
      </c>
      <c r="AH4" s="82"/>
      <c r="AI4" s="635"/>
      <c r="AJ4" s="635"/>
      <c r="AK4" s="635"/>
      <c r="AL4" s="136"/>
      <c r="AM4" s="132">
        <v>1</v>
      </c>
      <c r="AN4" s="132">
        <v>2</v>
      </c>
      <c r="AO4" s="132">
        <v>3</v>
      </c>
      <c r="AP4" s="132">
        <v>4</v>
      </c>
      <c r="AQ4" s="132">
        <v>5</v>
      </c>
      <c r="AR4" s="132">
        <v>6</v>
      </c>
      <c r="AS4" s="132">
        <v>7</v>
      </c>
      <c r="AT4" s="132">
        <v>8</v>
      </c>
      <c r="AU4" s="132">
        <v>9</v>
      </c>
      <c r="AV4" s="132">
        <v>10</v>
      </c>
      <c r="AW4" s="132">
        <v>11</v>
      </c>
      <c r="AX4" s="132">
        <v>12</v>
      </c>
      <c r="AY4" s="82"/>
    </row>
    <row r="5" spans="1:52">
      <c r="B5" s="65" t="s">
        <v>1</v>
      </c>
      <c r="C5" s="66">
        <v>37347</v>
      </c>
      <c r="D5" s="148"/>
      <c r="E5" s="93" t="s">
        <v>181</v>
      </c>
      <c r="F5" s="67">
        <f ca="1">DATEDIF(C5,TODAY(),"Y")</f>
        <v>16</v>
      </c>
      <c r="G5" s="67">
        <f ca="1">DATEDIF(C5,TODAY(),"YM")</f>
        <v>5</v>
      </c>
      <c r="H5" s="67">
        <f ca="1">DATEDIF(C5,TODAY(),"MD")</f>
        <v>22</v>
      </c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63"/>
      <c r="V5" s="50"/>
      <c r="W5" s="50"/>
      <c r="X5" s="50"/>
      <c r="Y5" s="50"/>
      <c r="Z5" s="50"/>
      <c r="AA5" s="50"/>
      <c r="AB5" s="50"/>
      <c r="AC5" s="50"/>
      <c r="AD5" s="62"/>
      <c r="AE5" s="50"/>
      <c r="AF5" s="50"/>
      <c r="AG5" s="50"/>
      <c r="AH5" s="83">
        <f>SUM(V5:AG5)</f>
        <v>0</v>
      </c>
      <c r="AI5" s="50"/>
      <c r="AJ5" s="50"/>
      <c r="AK5" s="50"/>
      <c r="AL5" s="64"/>
      <c r="AM5" s="128"/>
      <c r="AN5" s="128"/>
      <c r="AO5" s="128"/>
      <c r="AP5" s="128"/>
      <c r="AQ5" s="128"/>
      <c r="AR5" s="128"/>
      <c r="AS5" s="128"/>
      <c r="AT5" s="128"/>
      <c r="AU5" s="128"/>
      <c r="AV5" s="128"/>
      <c r="AW5" s="128"/>
      <c r="AX5" s="128"/>
      <c r="AY5" s="83">
        <f>SUM(AM5:AX5)</f>
        <v>0</v>
      </c>
    </row>
    <row r="6" spans="1:52">
      <c r="B6" s="72" t="s">
        <v>121</v>
      </c>
      <c r="C6" s="73">
        <v>37987</v>
      </c>
      <c r="D6" s="73"/>
      <c r="E6" s="95"/>
      <c r="F6" s="67">
        <f ca="1">DATEDIF(C6,TODAY(),"Y")</f>
        <v>14</v>
      </c>
      <c r="G6" s="67">
        <f ca="1">DATEDIF(C6,TODAY(),"YM")</f>
        <v>8</v>
      </c>
      <c r="H6" s="67">
        <f ca="1">DATEDIF(C6,TODAY(),"MD")</f>
        <v>22</v>
      </c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63"/>
      <c r="V6" s="50"/>
      <c r="W6" s="50"/>
      <c r="X6" s="50"/>
      <c r="Y6" s="50"/>
      <c r="Z6" s="50"/>
      <c r="AA6" s="50"/>
      <c r="AB6" s="50"/>
      <c r="AC6" s="50"/>
      <c r="AD6" s="62"/>
      <c r="AE6" s="50"/>
      <c r="AF6" s="50"/>
      <c r="AG6" s="50"/>
      <c r="AH6" s="83">
        <f>SUM(V6:AG6)</f>
        <v>0</v>
      </c>
      <c r="AI6" s="50"/>
      <c r="AJ6" s="50"/>
      <c r="AK6" s="50"/>
      <c r="AL6" s="64"/>
      <c r="AM6" s="128"/>
      <c r="AN6" s="128"/>
      <c r="AO6" s="128"/>
      <c r="AP6" s="128"/>
      <c r="AQ6" s="128"/>
      <c r="AR6" s="128"/>
      <c r="AS6" s="128"/>
      <c r="AT6" s="128"/>
      <c r="AU6" s="128"/>
      <c r="AV6" s="128"/>
      <c r="AW6" s="128"/>
      <c r="AX6" s="128"/>
      <c r="AY6" s="83">
        <f>SUM(AM6:AX6)</f>
        <v>0</v>
      </c>
    </row>
    <row r="7" spans="1:52" ht="12.5">
      <c r="B7" s="68" t="s">
        <v>145</v>
      </c>
      <c r="C7" s="69"/>
      <c r="D7" s="69"/>
      <c r="E7" s="90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70"/>
      <c r="V7" s="69"/>
      <c r="W7" s="69"/>
      <c r="X7" s="69"/>
      <c r="Y7" s="69"/>
      <c r="Z7" s="69"/>
      <c r="AA7" s="69"/>
      <c r="AB7" s="69"/>
      <c r="AC7" s="69"/>
      <c r="AD7" s="113"/>
      <c r="AE7" s="69"/>
      <c r="AF7" s="69"/>
      <c r="AG7" s="69"/>
      <c r="AH7" s="81"/>
      <c r="AI7" s="69"/>
      <c r="AJ7" s="69"/>
      <c r="AK7" s="69"/>
      <c r="AL7" s="137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81"/>
    </row>
    <row r="8" spans="1:52">
      <c r="B8" s="65" t="s">
        <v>36</v>
      </c>
      <c r="C8" s="66">
        <v>40040</v>
      </c>
      <c r="D8" s="148"/>
      <c r="E8" s="93" t="s">
        <v>180</v>
      </c>
      <c r="F8" s="67">
        <f ca="1">DATEDIF(C8,TODAY(),"Y")</f>
        <v>9</v>
      </c>
      <c r="G8" s="67">
        <f ca="1">DATEDIF(C8,TODAY(),"YM")</f>
        <v>1</v>
      </c>
      <c r="H8" s="67">
        <f ca="1">DATEDIF(C8,TODAY(),"MD")</f>
        <v>8</v>
      </c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63"/>
      <c r="V8" s="50"/>
      <c r="W8" s="50"/>
      <c r="X8" s="50"/>
      <c r="Y8" s="50"/>
      <c r="Z8" s="50"/>
      <c r="AA8" s="50"/>
      <c r="AB8" s="50"/>
      <c r="AC8" s="50"/>
      <c r="AD8" s="62"/>
      <c r="AE8" s="50"/>
      <c r="AF8" s="50"/>
      <c r="AG8" s="50"/>
      <c r="AH8" s="83">
        <f>SUM(V8:AG8)</f>
        <v>0</v>
      </c>
      <c r="AI8" s="50"/>
      <c r="AJ8" s="50">
        <f>SUM(V8:AA8)</f>
        <v>0</v>
      </c>
      <c r="AK8" s="50">
        <f ca="1">IF(AI8&gt;=AJ8,INT($F8/5)+$A$1-SUM(AB8:AG8),INT($F8/5)+$A$1-(SUM(V8:AG8)-AI8))</f>
        <v>13</v>
      </c>
      <c r="AL8" s="64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83">
        <f>SUM(AM8:AX8)</f>
        <v>0</v>
      </c>
    </row>
    <row r="9" spans="1:52">
      <c r="B9" s="65" t="s">
        <v>37</v>
      </c>
      <c r="C9" s="66">
        <v>41838</v>
      </c>
      <c r="D9" s="66"/>
      <c r="E9" s="91" t="s">
        <v>190</v>
      </c>
      <c r="F9" s="67">
        <f ca="1">DATEDIF(C9,TODAY(),"Y")</f>
        <v>4</v>
      </c>
      <c r="G9" s="67">
        <f ca="1">DATEDIF(C9,TODAY(),"YM")</f>
        <v>2</v>
      </c>
      <c r="H9" s="67">
        <f ca="1">DATEDIF(C9,TODAY(),"MD")</f>
        <v>5</v>
      </c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63"/>
      <c r="V9" s="50"/>
      <c r="W9" s="50"/>
      <c r="X9" s="50"/>
      <c r="Y9" s="50"/>
      <c r="Z9" s="50"/>
      <c r="AA9" s="50"/>
      <c r="AB9" s="50"/>
      <c r="AC9" s="50"/>
      <c r="AD9" s="62"/>
      <c r="AE9" s="50"/>
      <c r="AF9" s="50"/>
      <c r="AG9" s="50"/>
      <c r="AH9" s="83">
        <f>SUM(V9:AG9)</f>
        <v>0</v>
      </c>
      <c r="AI9" s="50"/>
      <c r="AJ9" s="50">
        <f>SUM(V9:AA9)</f>
        <v>0</v>
      </c>
      <c r="AK9" s="50">
        <f ca="1">IF(AI9&gt;=AJ9,INT($F9/5)+$A$1-SUM(AB9:AG9),INT($F9/5)+$A$1-(SUM(V9:AG9)-AI9))</f>
        <v>12</v>
      </c>
      <c r="AL9" s="64"/>
      <c r="AM9" s="128"/>
      <c r="AN9" s="128"/>
      <c r="AO9" s="128"/>
      <c r="AP9" s="128"/>
      <c r="AQ9" s="128"/>
      <c r="AR9" s="128"/>
      <c r="AS9" s="128"/>
      <c r="AT9" s="128"/>
      <c r="AU9" s="128"/>
      <c r="AV9" s="128"/>
      <c r="AW9" s="128"/>
      <c r="AX9" s="128"/>
      <c r="AY9" s="83">
        <f>SUM(AM9:AX9)</f>
        <v>0</v>
      </c>
    </row>
    <row r="10" spans="1:52">
      <c r="B10" s="65" t="s">
        <v>100</v>
      </c>
      <c r="C10" s="71">
        <v>42298</v>
      </c>
      <c r="D10" s="149"/>
      <c r="E10" s="89">
        <v>42614</v>
      </c>
      <c r="F10" s="67">
        <f ca="1">DATEDIF(C10,TODAY(),"Y")</f>
        <v>2</v>
      </c>
      <c r="G10" s="67">
        <f ca="1">DATEDIF(C10,TODAY(),"YM")</f>
        <v>11</v>
      </c>
      <c r="H10" s="67">
        <f ca="1">DATEDIF(C10,TODAY(),"MD")</f>
        <v>2</v>
      </c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63"/>
      <c r="V10" s="50"/>
      <c r="W10" s="50"/>
      <c r="X10" s="50"/>
      <c r="Y10" s="50"/>
      <c r="Z10" s="50"/>
      <c r="AA10" s="50"/>
      <c r="AB10" s="50"/>
      <c r="AC10" s="50"/>
      <c r="AD10" s="62">
        <v>1</v>
      </c>
      <c r="AE10" s="50"/>
      <c r="AF10" s="50">
        <v>1</v>
      </c>
      <c r="AG10" s="50">
        <v>1</v>
      </c>
      <c r="AH10" s="83">
        <f>SUM(V10:AG10)</f>
        <v>3</v>
      </c>
      <c r="AI10" s="50"/>
      <c r="AJ10" s="50">
        <f>SUM(V10:AA10)</f>
        <v>0</v>
      </c>
      <c r="AK10" s="50">
        <f ca="1">IF(AI10&gt;=AJ10,INT($F10/5)+$A$1-SUM(AB10:AG10),INT($F10/5)+$A$1-(SUM(V10:AG10)-AI10))</f>
        <v>9</v>
      </c>
      <c r="AL10" s="64"/>
      <c r="AM10" s="128">
        <v>1</v>
      </c>
      <c r="AN10" s="128"/>
      <c r="AO10" s="128">
        <v>2</v>
      </c>
      <c r="AP10" s="128"/>
      <c r="AQ10" s="128"/>
      <c r="AR10" s="128"/>
      <c r="AS10" s="128"/>
      <c r="AT10" s="128"/>
      <c r="AU10" s="128"/>
      <c r="AV10" s="128"/>
      <c r="AW10" s="128"/>
      <c r="AX10" s="128"/>
      <c r="AY10" s="83">
        <f>SUM(AM10:AX10)</f>
        <v>3</v>
      </c>
    </row>
    <row r="11" spans="1:52" s="127" customFormat="1" ht="12.5">
      <c r="B11" s="65" t="s">
        <v>212</v>
      </c>
      <c r="C11" s="66">
        <v>42842</v>
      </c>
      <c r="D11" s="66"/>
      <c r="E11" s="91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147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7">
        <v>3</v>
      </c>
      <c r="AT11" s="67">
        <v>2</v>
      </c>
      <c r="AU11" s="66"/>
      <c r="AV11" s="66"/>
      <c r="AW11" s="66"/>
      <c r="AX11" s="66"/>
      <c r="AY11" s="142">
        <f>SUM(AM11:AX11)</f>
        <v>5</v>
      </c>
    </row>
    <row r="12" spans="1:52">
      <c r="B12" s="65" t="s">
        <v>126</v>
      </c>
      <c r="C12" s="66">
        <v>42464</v>
      </c>
      <c r="D12" s="66"/>
      <c r="E12" s="91"/>
      <c r="F12" s="67">
        <f ca="1">DATEDIF(C12,TODAY(),"Y")</f>
        <v>2</v>
      </c>
      <c r="G12" s="67">
        <f ca="1">DATEDIF(C12,TODAY(),"YM")</f>
        <v>5</v>
      </c>
      <c r="H12" s="67">
        <f ca="1">DATEDIF(C12,TODAY(),"MD")</f>
        <v>19</v>
      </c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63"/>
      <c r="V12" s="50"/>
      <c r="W12" s="50"/>
      <c r="X12" s="50"/>
      <c r="Y12" s="50"/>
      <c r="Z12" s="50"/>
      <c r="AA12" s="50"/>
      <c r="AB12" s="50"/>
      <c r="AC12" s="50">
        <v>2</v>
      </c>
      <c r="AD12" s="62"/>
      <c r="AE12" s="50"/>
      <c r="AF12" s="50"/>
      <c r="AG12" s="50"/>
      <c r="AH12" s="83">
        <f>SUM(V12:AG12)</f>
        <v>2</v>
      </c>
      <c r="AI12" s="50"/>
      <c r="AJ12" s="50">
        <f>SUM(V12:AA12)</f>
        <v>0</v>
      </c>
      <c r="AK12" s="50">
        <f ca="1">IF(AI12&gt;=AJ12,INT($F12/5)+7-SUM(AB12:AG12),INT($F12/5)+7-(SUM(V12:AG12)-AI12))</f>
        <v>5</v>
      </c>
      <c r="AL12" s="64"/>
      <c r="AM12" s="128"/>
      <c r="AN12" s="128"/>
      <c r="AO12" s="128"/>
      <c r="AP12" s="128"/>
      <c r="AQ12" s="128"/>
      <c r="AR12" s="128"/>
      <c r="AS12" s="145"/>
      <c r="AT12" s="145"/>
      <c r="AU12" s="145"/>
      <c r="AV12" s="145"/>
      <c r="AW12" s="145"/>
      <c r="AX12" s="145"/>
      <c r="AY12" s="146"/>
    </row>
    <row r="13" spans="1:52" ht="12.5">
      <c r="B13" s="68" t="s">
        <v>142</v>
      </c>
      <c r="C13" s="69"/>
      <c r="D13" s="69"/>
      <c r="E13" s="90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70"/>
      <c r="V13" s="69"/>
      <c r="W13" s="69"/>
      <c r="X13" s="69"/>
      <c r="Y13" s="69"/>
      <c r="Z13" s="69"/>
      <c r="AA13" s="69"/>
      <c r="AB13" s="69"/>
      <c r="AC13" s="69"/>
      <c r="AD13" s="113"/>
      <c r="AE13" s="69"/>
      <c r="AF13" s="69"/>
      <c r="AG13" s="69"/>
      <c r="AH13" s="81"/>
      <c r="AI13" s="69"/>
      <c r="AJ13" s="69"/>
      <c r="AK13" s="69"/>
      <c r="AL13" s="137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81"/>
    </row>
    <row r="14" spans="1:52">
      <c r="B14" s="65" t="s">
        <v>65</v>
      </c>
      <c r="C14" s="66">
        <v>38579</v>
      </c>
      <c r="D14" s="148"/>
      <c r="E14" s="93" t="s">
        <v>182</v>
      </c>
      <c r="F14" s="67">
        <f ca="1">DATEDIF(C14,TODAY(),"Y")</f>
        <v>13</v>
      </c>
      <c r="G14" s="67">
        <f ca="1">DATEDIF(C14,TODAY(),"YM")</f>
        <v>1</v>
      </c>
      <c r="H14" s="67">
        <f ca="1">DATEDIF(C14,TODAY(),"MD")</f>
        <v>8</v>
      </c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63"/>
      <c r="V14" s="50">
        <v>1</v>
      </c>
      <c r="W14" s="50"/>
      <c r="X14" s="50">
        <v>2</v>
      </c>
      <c r="Y14" s="50">
        <v>2</v>
      </c>
      <c r="Z14" s="50"/>
      <c r="AA14" s="50"/>
      <c r="AB14" s="50">
        <v>1</v>
      </c>
      <c r="AC14" s="50"/>
      <c r="AD14" s="62">
        <v>2</v>
      </c>
      <c r="AE14" s="50">
        <v>1</v>
      </c>
      <c r="AF14" s="50"/>
      <c r="AG14" s="50">
        <v>3</v>
      </c>
      <c r="AH14" s="83">
        <f>SUM(V14:AG14)</f>
        <v>12</v>
      </c>
      <c r="AI14" s="50"/>
      <c r="AJ14" s="50">
        <f>SUM(V14:AA14)</f>
        <v>5</v>
      </c>
      <c r="AK14" s="50">
        <f ca="1">IF(AI14&gt;=AJ14,INT($F14/5)+$A$1-SUM(AB14:AG14),INT($F14/5)+$A$1-(SUM(V14:AG14)-AI14))</f>
        <v>2</v>
      </c>
      <c r="AL14" s="64"/>
      <c r="AM14" s="128">
        <v>6</v>
      </c>
      <c r="AN14" s="128">
        <v>1</v>
      </c>
      <c r="AO14" s="128">
        <v>0</v>
      </c>
      <c r="AP14" s="128">
        <v>1</v>
      </c>
      <c r="AQ14" s="128">
        <v>1</v>
      </c>
      <c r="AR14" s="128">
        <v>1</v>
      </c>
      <c r="AS14" s="128">
        <v>2</v>
      </c>
      <c r="AT14" s="128">
        <v>1</v>
      </c>
      <c r="AU14" s="128">
        <v>3</v>
      </c>
      <c r="AV14" s="64"/>
      <c r="AW14" s="64"/>
      <c r="AX14" s="64"/>
      <c r="AY14" s="83">
        <f>SUM(AM14:AX14)</f>
        <v>16</v>
      </c>
      <c r="AZ14" s="18" t="s">
        <v>220</v>
      </c>
    </row>
    <row r="15" spans="1:52">
      <c r="B15" s="65" t="s">
        <v>157</v>
      </c>
      <c r="C15" s="66">
        <v>42555</v>
      </c>
      <c r="D15" s="66"/>
      <c r="E15" s="91"/>
      <c r="F15" s="67">
        <f ca="1">DATEDIF(C15,TODAY(),"Y")</f>
        <v>2</v>
      </c>
      <c r="G15" s="67">
        <f ca="1">DATEDIF(C15,TODAY(),"YM")</f>
        <v>2</v>
      </c>
      <c r="H15" s="67">
        <f ca="1">DATEDIF(C15,TODAY(),"MD")</f>
        <v>19</v>
      </c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63"/>
      <c r="V15" s="50"/>
      <c r="W15" s="50"/>
      <c r="X15" s="50"/>
      <c r="Y15" s="50"/>
      <c r="Z15" s="50"/>
      <c r="AA15" s="50"/>
      <c r="AB15" s="50"/>
      <c r="AC15" s="50"/>
      <c r="AD15" s="62"/>
      <c r="AE15" s="50">
        <v>1</v>
      </c>
      <c r="AF15" s="50"/>
      <c r="AG15" s="50">
        <v>1</v>
      </c>
      <c r="AH15" s="83">
        <f>SUM(V15:AG15)</f>
        <v>2</v>
      </c>
      <c r="AI15" s="50"/>
      <c r="AJ15" s="50">
        <f>SUM(V15:AA15)</f>
        <v>0</v>
      </c>
      <c r="AK15" s="50">
        <f ca="1">IF(AI15&gt;=AJ15,INT($F15/5)+4-SUM(AB15:AG15),INT($F15/5)+4-(SUM(V15:AG15)-AI15))</f>
        <v>2</v>
      </c>
      <c r="AL15" s="64"/>
      <c r="AM15" s="128"/>
      <c r="AN15" s="128"/>
      <c r="AO15" s="128">
        <v>1</v>
      </c>
      <c r="AP15" s="128"/>
      <c r="AQ15" s="128"/>
      <c r="AR15" s="128">
        <v>1</v>
      </c>
      <c r="AS15" s="128"/>
      <c r="AT15" s="128">
        <v>6</v>
      </c>
      <c r="AU15" s="128">
        <v>1</v>
      </c>
      <c r="AV15" s="128">
        <v>1</v>
      </c>
      <c r="AW15" s="128"/>
      <c r="AX15" s="128"/>
      <c r="AY15" s="83">
        <f>SUM(AM15:AX15)</f>
        <v>10</v>
      </c>
      <c r="AZ15" s="18">
        <f ca="1">12-AY15+AK15</f>
        <v>4</v>
      </c>
    </row>
    <row r="16" spans="1:52" ht="12.5">
      <c r="B16" s="68" t="s">
        <v>143</v>
      </c>
      <c r="C16" s="69"/>
      <c r="D16" s="69"/>
      <c r="E16" s="90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70"/>
      <c r="V16" s="69"/>
      <c r="W16" s="69"/>
      <c r="X16" s="69"/>
      <c r="Y16" s="69"/>
      <c r="Z16" s="69"/>
      <c r="AA16" s="69"/>
      <c r="AB16" s="69"/>
      <c r="AC16" s="69"/>
      <c r="AD16" s="113"/>
      <c r="AE16" s="69"/>
      <c r="AF16" s="69"/>
      <c r="AG16" s="69"/>
      <c r="AH16" s="81"/>
      <c r="AI16" s="69"/>
      <c r="AJ16" s="69"/>
      <c r="AK16" s="69"/>
      <c r="AL16" s="137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81"/>
      <c r="AZ16" s="18">
        <f t="shared" ref="AZ16:AZ79" si="0">12-AY16+AK16</f>
        <v>12</v>
      </c>
    </row>
    <row r="17" spans="2:52">
      <c r="B17" s="65" t="s">
        <v>10</v>
      </c>
      <c r="C17" s="66">
        <v>40045</v>
      </c>
      <c r="D17" s="150"/>
      <c r="E17" s="102" t="s">
        <v>185</v>
      </c>
      <c r="F17" s="67">
        <f t="shared" ref="F17:F25" ca="1" si="1">DATEDIF(C17,TODAY(),"Y")</f>
        <v>9</v>
      </c>
      <c r="G17" s="67">
        <f t="shared" ref="G17:G25" ca="1" si="2">DATEDIF(C17,TODAY(),"YM")</f>
        <v>1</v>
      </c>
      <c r="H17" s="67">
        <f t="shared" ref="H17:H25" ca="1" si="3">DATEDIF(C17,TODAY(),"MD")</f>
        <v>3</v>
      </c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63"/>
      <c r="V17" s="50">
        <v>2</v>
      </c>
      <c r="W17" s="50"/>
      <c r="X17" s="50"/>
      <c r="Y17" s="50"/>
      <c r="Z17" s="50"/>
      <c r="AA17" s="50"/>
      <c r="AB17" s="50">
        <v>3</v>
      </c>
      <c r="AC17" s="50"/>
      <c r="AD17" s="62">
        <v>1</v>
      </c>
      <c r="AE17" s="50">
        <v>2</v>
      </c>
      <c r="AF17" s="50">
        <v>2</v>
      </c>
      <c r="AG17" s="50">
        <v>1</v>
      </c>
      <c r="AH17" s="83">
        <f t="shared" ref="AH17:AH23" si="4">SUM(V17:AG17)</f>
        <v>11</v>
      </c>
      <c r="AI17" s="50"/>
      <c r="AJ17" s="50">
        <f t="shared" ref="AJ17:AJ23" si="5">SUM(V17:AA17)</f>
        <v>2</v>
      </c>
      <c r="AK17" s="50">
        <f ca="1">IF(AI17&gt;=AJ17,INT($F17/5)+$A$1-SUM(AB17:AG17),INT($F17/5)+$A$1-(SUM(V17:AG17)-AI17))</f>
        <v>2</v>
      </c>
      <c r="AL17" s="64"/>
      <c r="AM17" s="128">
        <v>3</v>
      </c>
      <c r="AN17" s="128">
        <v>2</v>
      </c>
      <c r="AO17" s="128">
        <v>1</v>
      </c>
      <c r="AP17" s="128">
        <v>3</v>
      </c>
      <c r="AQ17" s="128"/>
      <c r="AR17" s="128"/>
      <c r="AS17" s="128">
        <v>2</v>
      </c>
      <c r="AT17" s="128">
        <v>1</v>
      </c>
      <c r="AU17" s="128">
        <v>2</v>
      </c>
      <c r="AV17" s="165"/>
      <c r="AW17" s="165"/>
      <c r="AX17" s="165"/>
      <c r="AY17" s="83">
        <f>SUM(AM17:AX17)</f>
        <v>14</v>
      </c>
      <c r="AZ17" s="18">
        <f t="shared" ca="1" si="0"/>
        <v>0</v>
      </c>
    </row>
    <row r="18" spans="2:52">
      <c r="B18" s="65" t="s">
        <v>33</v>
      </c>
      <c r="C18" s="66">
        <v>40239</v>
      </c>
      <c r="D18" s="66"/>
      <c r="E18" s="103" t="s">
        <v>179</v>
      </c>
      <c r="F18" s="67">
        <f t="shared" ca="1" si="1"/>
        <v>8</v>
      </c>
      <c r="G18" s="67">
        <f t="shared" ca="1" si="2"/>
        <v>6</v>
      </c>
      <c r="H18" s="67">
        <f t="shared" ca="1" si="3"/>
        <v>21</v>
      </c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63"/>
      <c r="V18" s="50">
        <v>2</v>
      </c>
      <c r="W18" s="50">
        <v>1</v>
      </c>
      <c r="X18" s="50"/>
      <c r="Y18" s="50"/>
      <c r="Z18" s="50">
        <v>1</v>
      </c>
      <c r="AA18" s="50">
        <v>3</v>
      </c>
      <c r="AB18" s="50">
        <v>2</v>
      </c>
      <c r="AC18" s="50"/>
      <c r="AD18" s="62"/>
      <c r="AE18" s="50"/>
      <c r="AF18" s="50">
        <v>2</v>
      </c>
      <c r="AG18" s="50"/>
      <c r="AH18" s="83">
        <f t="shared" si="4"/>
        <v>11</v>
      </c>
      <c r="AI18" s="50"/>
      <c r="AJ18" s="50">
        <f t="shared" si="5"/>
        <v>7</v>
      </c>
      <c r="AK18" s="50">
        <f ca="1">IF(AI18&gt;=AJ18,INT($F18/5)+$A$1-SUM(AB18:AG18),INT($F18/5)+$A$1-(SUM(V18:AG18)-AI18))</f>
        <v>2</v>
      </c>
      <c r="AL18" s="64"/>
      <c r="AM18" s="128">
        <v>1</v>
      </c>
      <c r="AN18" s="128"/>
      <c r="AO18" s="128"/>
      <c r="AP18" s="128"/>
      <c r="AQ18" s="128"/>
      <c r="AR18" s="128">
        <v>4</v>
      </c>
      <c r="AS18" s="128"/>
      <c r="AT18" s="128"/>
      <c r="AU18" s="128"/>
      <c r="AV18" s="128"/>
      <c r="AW18" s="128"/>
      <c r="AX18" s="128"/>
      <c r="AY18" s="83">
        <f>SUM(AM18:AX18)</f>
        <v>5</v>
      </c>
      <c r="AZ18" s="18">
        <f t="shared" ca="1" si="0"/>
        <v>9</v>
      </c>
    </row>
    <row r="19" spans="2:52">
      <c r="B19" s="65" t="s">
        <v>95</v>
      </c>
      <c r="C19" s="66">
        <v>42187</v>
      </c>
      <c r="D19" s="66"/>
      <c r="E19" s="91" t="s">
        <v>190</v>
      </c>
      <c r="F19" s="67">
        <f t="shared" ca="1" si="1"/>
        <v>3</v>
      </c>
      <c r="G19" s="67">
        <f t="shared" ca="1" si="2"/>
        <v>2</v>
      </c>
      <c r="H19" s="67">
        <f t="shared" ca="1" si="3"/>
        <v>21</v>
      </c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63"/>
      <c r="V19" s="50"/>
      <c r="W19" s="50"/>
      <c r="X19" s="50"/>
      <c r="Y19" s="50"/>
      <c r="Z19" s="50">
        <v>1</v>
      </c>
      <c r="AA19" s="50">
        <v>1</v>
      </c>
      <c r="AB19" s="50">
        <v>3</v>
      </c>
      <c r="AC19" s="50"/>
      <c r="AD19" s="62">
        <v>1</v>
      </c>
      <c r="AE19" s="50"/>
      <c r="AF19" s="50">
        <v>3</v>
      </c>
      <c r="AG19" s="50">
        <v>2</v>
      </c>
      <c r="AH19" s="83">
        <f t="shared" si="4"/>
        <v>11</v>
      </c>
      <c r="AI19" s="50"/>
      <c r="AJ19" s="50">
        <f t="shared" si="5"/>
        <v>2</v>
      </c>
      <c r="AK19" s="50">
        <f ca="1">IF(AI19&gt;=AJ19,INT($F19/5)+$A$1-SUM(AB19:AG19),INT($F19/5)+$A$1-(SUM(V19:AG19)-AI19))</f>
        <v>1</v>
      </c>
      <c r="AL19" s="64"/>
      <c r="AM19" s="128">
        <v>2</v>
      </c>
      <c r="AN19" s="128">
        <v>3</v>
      </c>
      <c r="AO19" s="128">
        <v>1</v>
      </c>
      <c r="AP19" s="128">
        <v>0</v>
      </c>
      <c r="AQ19" s="128">
        <v>1</v>
      </c>
      <c r="AR19" s="128">
        <v>2</v>
      </c>
      <c r="AS19" s="128">
        <v>3</v>
      </c>
      <c r="AT19" s="128"/>
      <c r="AU19" s="128">
        <v>1</v>
      </c>
      <c r="AV19" s="128">
        <v>1</v>
      </c>
      <c r="AW19" s="165"/>
      <c r="AX19" s="165"/>
      <c r="AY19" s="83">
        <f>SUM(AM19:AX19)</f>
        <v>14</v>
      </c>
      <c r="AZ19" s="18">
        <f t="shared" ca="1" si="0"/>
        <v>-1</v>
      </c>
    </row>
    <row r="20" spans="2:52">
      <c r="B20" s="65" t="s">
        <v>109</v>
      </c>
      <c r="C20" s="71">
        <v>42313</v>
      </c>
      <c r="D20" s="71"/>
      <c r="E20" s="94">
        <v>42614</v>
      </c>
      <c r="F20" s="67">
        <f t="shared" ca="1" si="1"/>
        <v>2</v>
      </c>
      <c r="G20" s="67">
        <f t="shared" ca="1" si="2"/>
        <v>10</v>
      </c>
      <c r="H20" s="67">
        <f t="shared" ca="1" si="3"/>
        <v>18</v>
      </c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63"/>
      <c r="V20" s="50"/>
      <c r="W20" s="50"/>
      <c r="X20" s="50"/>
      <c r="Y20" s="50"/>
      <c r="Z20" s="50"/>
      <c r="AA20" s="50"/>
      <c r="AB20" s="50"/>
      <c r="AC20" s="50"/>
      <c r="AD20" s="62">
        <v>1</v>
      </c>
      <c r="AE20" s="50"/>
      <c r="AF20" s="50">
        <v>1</v>
      </c>
      <c r="AG20" s="50">
        <v>2</v>
      </c>
      <c r="AH20" s="83">
        <f t="shared" si="4"/>
        <v>4</v>
      </c>
      <c r="AI20" s="50"/>
      <c r="AJ20" s="50">
        <f t="shared" si="5"/>
        <v>0</v>
      </c>
      <c r="AK20" s="50">
        <f ca="1">IF(AI20&gt;=AJ20,INT($F20/5)+$A$1-SUM(AB20:AG20),INT($F20/5)+$A$1-(SUM(V20:AG20)-AI20))</f>
        <v>8</v>
      </c>
      <c r="AL20" s="64"/>
      <c r="AM20" s="128"/>
      <c r="AN20" s="128"/>
      <c r="AO20" s="128"/>
      <c r="AP20" s="128"/>
      <c r="AQ20" s="128"/>
      <c r="AR20" s="128"/>
      <c r="AS20" s="128">
        <v>2</v>
      </c>
      <c r="AT20" s="128">
        <v>2</v>
      </c>
      <c r="AU20" s="128"/>
      <c r="AV20" s="128"/>
      <c r="AW20" s="128"/>
      <c r="AX20" s="128"/>
      <c r="AY20" s="83">
        <f>SUM(AM20:AX20)</f>
        <v>4</v>
      </c>
      <c r="AZ20" s="18">
        <f t="shared" ca="1" si="0"/>
        <v>16</v>
      </c>
    </row>
    <row r="21" spans="2:52">
      <c r="B21" s="65" t="s">
        <v>45</v>
      </c>
      <c r="C21" s="66">
        <v>41852</v>
      </c>
      <c r="D21" s="66"/>
      <c r="E21" s="91"/>
      <c r="F21" s="67">
        <f t="shared" ca="1" si="1"/>
        <v>4</v>
      </c>
      <c r="G21" s="67">
        <f t="shared" ca="1" si="2"/>
        <v>1</v>
      </c>
      <c r="H21" s="67">
        <f t="shared" ca="1" si="3"/>
        <v>22</v>
      </c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63"/>
      <c r="V21" s="50"/>
      <c r="W21" s="50"/>
      <c r="X21" s="50"/>
      <c r="Y21" s="50"/>
      <c r="Z21" s="50"/>
      <c r="AA21" s="50"/>
      <c r="AB21" s="50"/>
      <c r="AC21" s="50"/>
      <c r="AD21" s="62"/>
      <c r="AE21" s="50"/>
      <c r="AF21" s="50"/>
      <c r="AG21" s="50"/>
      <c r="AH21" s="83">
        <f t="shared" si="4"/>
        <v>0</v>
      </c>
      <c r="AI21" s="50"/>
      <c r="AJ21" s="50">
        <f t="shared" si="5"/>
        <v>0</v>
      </c>
      <c r="AK21" s="50">
        <f ca="1">IF(AI21&gt;=AJ21,INT($F21/5)+$A$1-SUM(AB21:AG21),INT($F21/5)+$A$1-(SUM(V21:AG21)-AI21))</f>
        <v>12</v>
      </c>
      <c r="AL21" s="64"/>
      <c r="AM21" s="128"/>
      <c r="AN21" s="128"/>
      <c r="AO21" s="128"/>
      <c r="AP21" s="128"/>
      <c r="AQ21" s="128"/>
      <c r="AR21" s="128"/>
      <c r="AS21" s="128"/>
      <c r="AT21" s="128"/>
      <c r="AU21" s="128"/>
      <c r="AV21" s="128"/>
      <c r="AW21" s="128"/>
      <c r="AX21" s="128"/>
      <c r="AY21" s="83">
        <f t="shared" ref="AY21:AY27" si="6">SUM(AM21:AX21)</f>
        <v>0</v>
      </c>
      <c r="AZ21" s="18">
        <f t="shared" ca="1" si="0"/>
        <v>24</v>
      </c>
    </row>
    <row r="22" spans="2:52">
      <c r="B22" s="65" t="s">
        <v>141</v>
      </c>
      <c r="C22" s="71">
        <v>42537</v>
      </c>
      <c r="D22" s="71"/>
      <c r="E22" s="94"/>
      <c r="F22" s="67">
        <f t="shared" ca="1" si="1"/>
        <v>2</v>
      </c>
      <c r="G22" s="67">
        <f t="shared" ca="1" si="2"/>
        <v>3</v>
      </c>
      <c r="H22" s="67">
        <f t="shared" ca="1" si="3"/>
        <v>7</v>
      </c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63"/>
      <c r="V22" s="50"/>
      <c r="W22" s="50"/>
      <c r="X22" s="50"/>
      <c r="Y22" s="50"/>
      <c r="Z22" s="50"/>
      <c r="AA22" s="50"/>
      <c r="AB22" s="50"/>
      <c r="AC22" s="50"/>
      <c r="AD22" s="62">
        <v>1</v>
      </c>
      <c r="AE22" s="50">
        <v>1</v>
      </c>
      <c r="AF22" s="50"/>
      <c r="AG22" s="50">
        <v>2</v>
      </c>
      <c r="AH22" s="83">
        <f t="shared" si="4"/>
        <v>4</v>
      </c>
      <c r="AI22" s="50"/>
      <c r="AJ22" s="50">
        <f t="shared" si="5"/>
        <v>0</v>
      </c>
      <c r="AK22" s="50">
        <f ca="1">IF(AI22&gt;=AJ22,INT($F22/5)+4-SUM(AB22:AG22),INT($F22/5)+4-(SUM(V22:AG22)-AI22))</f>
        <v>0</v>
      </c>
      <c r="AL22" s="64"/>
      <c r="AM22" s="128">
        <v>5</v>
      </c>
      <c r="AN22" s="128">
        <v>0</v>
      </c>
      <c r="AO22" s="128">
        <v>1</v>
      </c>
      <c r="AP22" s="128">
        <v>0</v>
      </c>
      <c r="AQ22" s="128">
        <v>3</v>
      </c>
      <c r="AR22" s="128">
        <v>0</v>
      </c>
      <c r="AS22" s="128">
        <v>2</v>
      </c>
      <c r="AT22" s="128"/>
      <c r="AU22" s="128">
        <v>1</v>
      </c>
      <c r="AV22" s="165"/>
      <c r="AW22" s="165"/>
      <c r="AX22" s="165"/>
      <c r="AY22" s="83">
        <f t="shared" si="6"/>
        <v>12</v>
      </c>
      <c r="AZ22" s="18">
        <f t="shared" ca="1" si="0"/>
        <v>0</v>
      </c>
    </row>
    <row r="23" spans="2:52">
      <c r="B23" s="65" t="s">
        <v>127</v>
      </c>
      <c r="C23" s="66">
        <v>42479</v>
      </c>
      <c r="D23" s="66"/>
      <c r="E23" s="91"/>
      <c r="F23" s="67">
        <f t="shared" ca="1" si="1"/>
        <v>2</v>
      </c>
      <c r="G23" s="67">
        <f t="shared" ca="1" si="2"/>
        <v>5</v>
      </c>
      <c r="H23" s="67">
        <f t="shared" ca="1" si="3"/>
        <v>4</v>
      </c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63"/>
      <c r="V23" s="50"/>
      <c r="W23" s="50"/>
      <c r="X23" s="50"/>
      <c r="Y23" s="50"/>
      <c r="Z23" s="50"/>
      <c r="AA23" s="50"/>
      <c r="AB23" s="50"/>
      <c r="AC23" s="50"/>
      <c r="AD23" s="62">
        <v>1</v>
      </c>
      <c r="AE23" s="50"/>
      <c r="AF23" s="50"/>
      <c r="AG23" s="50"/>
      <c r="AH23" s="83">
        <f t="shared" si="4"/>
        <v>1</v>
      </c>
      <c r="AI23" s="50"/>
      <c r="AJ23" s="50">
        <f t="shared" si="5"/>
        <v>0</v>
      </c>
      <c r="AK23" s="50">
        <f ca="1">IF(AI23&gt;=AJ23,INT($F23/5)+6-SUM(AB23:AG23),INT($F23/5)+6-(SUM(V23:AG23)-AI23))</f>
        <v>5</v>
      </c>
      <c r="AL23" s="64"/>
      <c r="AM23" s="128">
        <v>1</v>
      </c>
      <c r="AN23" s="128">
        <v>2</v>
      </c>
      <c r="AO23" s="128">
        <v>2</v>
      </c>
      <c r="AP23" s="128">
        <v>0</v>
      </c>
      <c r="AQ23" s="128">
        <v>2</v>
      </c>
      <c r="AR23" s="128">
        <v>5</v>
      </c>
      <c r="AS23" s="128"/>
      <c r="AT23" s="128"/>
      <c r="AU23" s="128"/>
      <c r="AV23" s="128"/>
      <c r="AW23" s="128"/>
      <c r="AX23" s="128"/>
      <c r="AY23" s="83">
        <f t="shared" si="6"/>
        <v>12</v>
      </c>
      <c r="AZ23" s="18">
        <f t="shared" ca="1" si="0"/>
        <v>5</v>
      </c>
    </row>
    <row r="24" spans="2:52">
      <c r="B24" s="65" t="s">
        <v>66</v>
      </c>
      <c r="C24" s="66">
        <v>42074</v>
      </c>
      <c r="D24" s="66"/>
      <c r="E24" s="91"/>
      <c r="F24" s="67">
        <f t="shared" ca="1" si="1"/>
        <v>3</v>
      </c>
      <c r="G24" s="67">
        <f t="shared" ca="1" si="2"/>
        <v>6</v>
      </c>
      <c r="H24" s="67">
        <f t="shared" ca="1" si="3"/>
        <v>12</v>
      </c>
      <c r="I24" s="74"/>
      <c r="J24" s="74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63"/>
      <c r="V24" s="50"/>
      <c r="W24" s="50"/>
      <c r="X24" s="50"/>
      <c r="Y24" s="50">
        <v>1</v>
      </c>
      <c r="Z24" s="50">
        <v>4</v>
      </c>
      <c r="AA24" s="50"/>
      <c r="AB24" s="50"/>
      <c r="AC24" s="50"/>
      <c r="AD24" s="62"/>
      <c r="AE24" s="74"/>
      <c r="AF24" s="74"/>
      <c r="AG24" s="74"/>
      <c r="AH24" s="84"/>
      <c r="AI24" s="74"/>
      <c r="AJ24" s="74"/>
      <c r="AK24" s="74"/>
      <c r="AL24" s="64"/>
      <c r="AM24" s="128"/>
      <c r="AN24" s="128"/>
      <c r="AO24" s="128"/>
      <c r="AP24" s="128"/>
      <c r="AQ24" s="128"/>
      <c r="AR24" s="128"/>
      <c r="AS24" s="128"/>
      <c r="AT24" s="128"/>
      <c r="AU24" s="128"/>
      <c r="AV24" s="128"/>
      <c r="AW24" s="128"/>
      <c r="AX24" s="128"/>
      <c r="AY24" s="83">
        <f t="shared" si="6"/>
        <v>0</v>
      </c>
      <c r="AZ24" s="18">
        <f t="shared" si="0"/>
        <v>12</v>
      </c>
    </row>
    <row r="25" spans="2:52">
      <c r="B25" s="65" t="s">
        <v>176</v>
      </c>
      <c r="C25" s="66">
        <v>42646</v>
      </c>
      <c r="D25" s="66"/>
      <c r="E25" s="91"/>
      <c r="F25" s="67">
        <f t="shared" ca="1" si="1"/>
        <v>1</v>
      </c>
      <c r="G25" s="67">
        <f t="shared" ca="1" si="2"/>
        <v>11</v>
      </c>
      <c r="H25" s="67">
        <f t="shared" ca="1" si="3"/>
        <v>20</v>
      </c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8"/>
      <c r="V25" s="77"/>
      <c r="W25" s="77"/>
      <c r="X25" s="77"/>
      <c r="Y25" s="77"/>
      <c r="Z25" s="77"/>
      <c r="AA25" s="77"/>
      <c r="AB25" s="77"/>
      <c r="AC25" s="77"/>
      <c r="AD25" s="114"/>
      <c r="AE25" s="79"/>
      <c r="AF25" s="79"/>
      <c r="AG25" s="79"/>
      <c r="AH25" s="83">
        <f>SUM(V25:AG25)</f>
        <v>0</v>
      </c>
      <c r="AI25" s="50"/>
      <c r="AJ25" s="50"/>
      <c r="AK25" s="50"/>
      <c r="AL25" s="138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83">
        <f t="shared" si="6"/>
        <v>0</v>
      </c>
      <c r="AZ25" s="18">
        <f t="shared" si="0"/>
        <v>12</v>
      </c>
    </row>
    <row r="26" spans="2:52">
      <c r="B26" s="65" t="s">
        <v>195</v>
      </c>
      <c r="C26" s="66">
        <v>42795</v>
      </c>
      <c r="D26" s="66"/>
      <c r="E26" s="91"/>
      <c r="F26" s="67"/>
      <c r="G26" s="67"/>
      <c r="H26" s="67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8"/>
      <c r="V26" s="77"/>
      <c r="W26" s="77"/>
      <c r="X26" s="77"/>
      <c r="Y26" s="77"/>
      <c r="Z26" s="77"/>
      <c r="AA26" s="77"/>
      <c r="AB26" s="77"/>
      <c r="AC26" s="77"/>
      <c r="AD26" s="114"/>
      <c r="AE26" s="79"/>
      <c r="AF26" s="79"/>
      <c r="AG26" s="79"/>
      <c r="AH26" s="144"/>
      <c r="AI26" s="77"/>
      <c r="AJ26" s="77"/>
      <c r="AK26" s="77"/>
      <c r="AL26" s="138"/>
      <c r="AM26" s="79"/>
      <c r="AN26" s="79"/>
      <c r="AO26" s="79"/>
      <c r="AP26" s="79"/>
      <c r="AQ26" s="79"/>
      <c r="AR26" s="79">
        <v>2</v>
      </c>
      <c r="AS26" s="79"/>
      <c r="AT26" s="79">
        <v>1</v>
      </c>
      <c r="AU26" s="79">
        <v>1</v>
      </c>
      <c r="AV26" s="79">
        <v>1</v>
      </c>
      <c r="AW26" s="79">
        <v>3</v>
      </c>
      <c r="AX26" s="79"/>
      <c r="AY26" s="83">
        <f t="shared" si="6"/>
        <v>8</v>
      </c>
      <c r="AZ26" s="18">
        <f t="shared" si="0"/>
        <v>4</v>
      </c>
    </row>
    <row r="27" spans="2:52">
      <c r="B27" s="65" t="s">
        <v>196</v>
      </c>
      <c r="C27" s="66">
        <v>42809</v>
      </c>
      <c r="D27" s="66"/>
      <c r="E27" s="91"/>
      <c r="F27" s="67"/>
      <c r="G27" s="67"/>
      <c r="H27" s="67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8"/>
      <c r="V27" s="77"/>
      <c r="W27" s="77"/>
      <c r="X27" s="77"/>
      <c r="Y27" s="77"/>
      <c r="Z27" s="77"/>
      <c r="AA27" s="77"/>
      <c r="AB27" s="77"/>
      <c r="AC27" s="77"/>
      <c r="AD27" s="114"/>
      <c r="AE27" s="79"/>
      <c r="AF27" s="79"/>
      <c r="AG27" s="79"/>
      <c r="AH27" s="144"/>
      <c r="AI27" s="77"/>
      <c r="AJ27" s="77"/>
      <c r="AK27" s="77"/>
      <c r="AL27" s="138"/>
      <c r="AM27" s="79"/>
      <c r="AN27" s="79"/>
      <c r="AO27" s="79"/>
      <c r="AP27" s="79"/>
      <c r="AQ27" s="79"/>
      <c r="AR27" s="79">
        <v>1</v>
      </c>
      <c r="AS27" s="79"/>
      <c r="AT27" s="79">
        <v>2</v>
      </c>
      <c r="AU27" s="79">
        <v>4</v>
      </c>
      <c r="AV27" s="79"/>
      <c r="AW27" s="79"/>
      <c r="AX27" s="79"/>
      <c r="AY27" s="83">
        <f t="shared" si="6"/>
        <v>7</v>
      </c>
      <c r="AZ27" s="18">
        <f t="shared" si="0"/>
        <v>5</v>
      </c>
    </row>
    <row r="28" spans="2:52" ht="12.5">
      <c r="B28" s="68" t="s">
        <v>144</v>
      </c>
      <c r="C28" s="69"/>
      <c r="D28" s="69"/>
      <c r="E28" s="90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70"/>
      <c r="V28" s="69"/>
      <c r="W28" s="69"/>
      <c r="X28" s="69"/>
      <c r="Y28" s="69"/>
      <c r="Z28" s="69"/>
      <c r="AA28" s="69"/>
      <c r="AB28" s="69"/>
      <c r="AC28" s="69"/>
      <c r="AD28" s="113"/>
      <c r="AE28" s="69"/>
      <c r="AF28" s="69"/>
      <c r="AG28" s="69"/>
      <c r="AH28" s="81"/>
      <c r="AI28" s="69"/>
      <c r="AJ28" s="69"/>
      <c r="AK28" s="69"/>
      <c r="AL28" s="137"/>
      <c r="AM28" s="129"/>
      <c r="AN28" s="129"/>
      <c r="AO28" s="129"/>
      <c r="AP28" s="129"/>
      <c r="AQ28" s="129"/>
      <c r="AR28" s="129"/>
      <c r="AS28" s="129"/>
      <c r="AT28" s="129"/>
      <c r="AU28" s="129"/>
      <c r="AV28" s="129"/>
      <c r="AW28" s="129"/>
      <c r="AX28" s="129"/>
      <c r="AY28" s="81"/>
      <c r="AZ28" s="18">
        <f t="shared" si="0"/>
        <v>12</v>
      </c>
    </row>
    <row r="29" spans="2:52">
      <c r="B29" s="65" t="s">
        <v>8</v>
      </c>
      <c r="C29" s="66">
        <v>39471</v>
      </c>
      <c r="D29" s="66"/>
      <c r="E29" s="91" t="s">
        <v>186</v>
      </c>
      <c r="F29" s="67">
        <f t="shared" ref="F29:F34" ca="1" si="7">DATEDIF(C29,TODAY(),"Y")</f>
        <v>10</v>
      </c>
      <c r="G29" s="67">
        <f t="shared" ref="G29:G34" ca="1" si="8">DATEDIF(C29,TODAY(),"YM")</f>
        <v>7</v>
      </c>
      <c r="H29" s="67">
        <f t="shared" ref="H29:H34" ca="1" si="9">DATEDIF(C29,TODAY(),"MD")</f>
        <v>30</v>
      </c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63"/>
      <c r="V29" s="50"/>
      <c r="W29" s="50"/>
      <c r="X29" s="50"/>
      <c r="Y29" s="50"/>
      <c r="Z29" s="50"/>
      <c r="AA29" s="50"/>
      <c r="AB29" s="50"/>
      <c r="AC29" s="50"/>
      <c r="AD29" s="62"/>
      <c r="AE29" s="50"/>
      <c r="AF29" s="50"/>
      <c r="AG29" s="50"/>
      <c r="AH29" s="83">
        <f t="shared" ref="AH29:AH34" si="10">SUM(V29:AG29)</f>
        <v>0</v>
      </c>
      <c r="AI29" s="50"/>
      <c r="AJ29" s="50">
        <f t="shared" ref="AJ29:AJ34" si="11">SUM(V29:AA29)</f>
        <v>0</v>
      </c>
      <c r="AK29" s="50">
        <f ca="1">IF(AI29&gt;=AJ29,INT($F29/5)+$A$1-SUM(AB29:AG29),INT($F29/5)+$A$1-(SUM(V29:AG29)-AI29))</f>
        <v>14</v>
      </c>
      <c r="AL29" s="64"/>
      <c r="AM29" s="128"/>
      <c r="AN29" s="128"/>
      <c r="AO29" s="128"/>
      <c r="AP29" s="128"/>
      <c r="AQ29" s="128"/>
      <c r="AR29" s="128"/>
      <c r="AS29" s="128">
        <v>4</v>
      </c>
      <c r="AT29" s="128"/>
      <c r="AU29" s="128"/>
      <c r="AV29" s="128"/>
      <c r="AW29" s="128"/>
      <c r="AX29" s="128"/>
      <c r="AY29" s="83">
        <f t="shared" ref="AY29:AY34" si="12">SUM(AM29:AX29)</f>
        <v>4</v>
      </c>
      <c r="AZ29" s="18">
        <f t="shared" ca="1" si="0"/>
        <v>22</v>
      </c>
    </row>
    <row r="30" spans="2:52">
      <c r="B30" s="65" t="s">
        <v>111</v>
      </c>
      <c r="C30" s="66">
        <v>42338</v>
      </c>
      <c r="D30" s="66"/>
      <c r="E30" s="91">
        <v>42614</v>
      </c>
      <c r="F30" s="67">
        <f t="shared" ca="1" si="7"/>
        <v>2</v>
      </c>
      <c r="G30" s="67">
        <f t="shared" ca="1" si="8"/>
        <v>9</v>
      </c>
      <c r="H30" s="67">
        <f t="shared" ca="1" si="9"/>
        <v>24</v>
      </c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63"/>
      <c r="V30" s="50"/>
      <c r="W30" s="50"/>
      <c r="X30" s="50"/>
      <c r="Y30" s="50"/>
      <c r="Z30" s="50"/>
      <c r="AA30" s="50"/>
      <c r="AB30" s="50"/>
      <c r="AC30" s="50"/>
      <c r="AD30" s="62"/>
      <c r="AE30" s="50"/>
      <c r="AF30" s="50"/>
      <c r="AG30" s="50"/>
      <c r="AH30" s="83">
        <f t="shared" si="10"/>
        <v>0</v>
      </c>
      <c r="AI30" s="50"/>
      <c r="AJ30" s="50">
        <f t="shared" si="11"/>
        <v>0</v>
      </c>
      <c r="AK30" s="50">
        <f ca="1">IF(AI30&gt;=AJ30,INT($F30/5)+$A$1-SUM(AB30:AG30),INT($F30/5)+$A$1-(SUM(V30:AG30)-AI30))</f>
        <v>12</v>
      </c>
      <c r="AL30" s="64"/>
      <c r="AM30" s="128"/>
      <c r="AN30" s="128"/>
      <c r="AO30" s="128"/>
      <c r="AP30" s="128"/>
      <c r="AQ30" s="128">
        <v>3</v>
      </c>
      <c r="AR30" s="128">
        <v>2</v>
      </c>
      <c r="AS30" s="128">
        <v>6</v>
      </c>
      <c r="AT30" s="128"/>
      <c r="AU30" s="128"/>
      <c r="AV30" s="128"/>
      <c r="AW30" s="128"/>
      <c r="AX30" s="128"/>
      <c r="AY30" s="83">
        <f t="shared" si="12"/>
        <v>11</v>
      </c>
      <c r="AZ30" s="18">
        <f t="shared" ca="1" si="0"/>
        <v>13</v>
      </c>
    </row>
    <row r="31" spans="2:52">
      <c r="B31" s="65" t="s">
        <v>112</v>
      </c>
      <c r="C31" s="66">
        <v>42339</v>
      </c>
      <c r="D31" s="66"/>
      <c r="E31" s="91">
        <v>42614</v>
      </c>
      <c r="F31" s="67">
        <f t="shared" ca="1" si="7"/>
        <v>2</v>
      </c>
      <c r="G31" s="67">
        <f t="shared" ca="1" si="8"/>
        <v>9</v>
      </c>
      <c r="H31" s="67">
        <f t="shared" ca="1" si="9"/>
        <v>22</v>
      </c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63"/>
      <c r="V31" s="50"/>
      <c r="W31" s="50"/>
      <c r="X31" s="50"/>
      <c r="Y31" s="50"/>
      <c r="Z31" s="50"/>
      <c r="AA31" s="50"/>
      <c r="AB31" s="50"/>
      <c r="AC31" s="50"/>
      <c r="AD31" s="62"/>
      <c r="AE31" s="50"/>
      <c r="AF31" s="50"/>
      <c r="AG31" s="50"/>
      <c r="AH31" s="83">
        <f t="shared" si="10"/>
        <v>0</v>
      </c>
      <c r="AI31" s="50"/>
      <c r="AJ31" s="50">
        <f t="shared" si="11"/>
        <v>0</v>
      </c>
      <c r="AK31" s="50">
        <f ca="1">IF(AI31&gt;=AJ31,INT($F31/5)+$A$1-SUM(AB31:AG31),INT($F31/5)+$A$1-(SUM(V31:AG31)-AI31))</f>
        <v>12</v>
      </c>
      <c r="AL31" s="64"/>
      <c r="AM31" s="128"/>
      <c r="AN31" s="128"/>
      <c r="AO31" s="128">
        <v>1</v>
      </c>
      <c r="AP31" s="128"/>
      <c r="AQ31" s="128"/>
      <c r="AR31" s="128"/>
      <c r="AS31" s="128">
        <v>4</v>
      </c>
      <c r="AT31" s="128"/>
      <c r="AU31" s="128">
        <v>2</v>
      </c>
      <c r="AV31" s="128"/>
      <c r="AW31" s="128"/>
      <c r="AX31" s="128"/>
      <c r="AY31" s="83">
        <f t="shared" si="12"/>
        <v>7</v>
      </c>
      <c r="AZ31" s="18">
        <f t="shared" ca="1" si="0"/>
        <v>17</v>
      </c>
    </row>
    <row r="32" spans="2:52">
      <c r="B32" s="65" t="s">
        <v>123</v>
      </c>
      <c r="C32" s="66">
        <v>42475</v>
      </c>
      <c r="D32" s="66"/>
      <c r="E32" s="91"/>
      <c r="F32" s="67">
        <f t="shared" ca="1" si="7"/>
        <v>2</v>
      </c>
      <c r="G32" s="67">
        <f t="shared" ca="1" si="8"/>
        <v>5</v>
      </c>
      <c r="H32" s="67">
        <f t="shared" ca="1" si="9"/>
        <v>8</v>
      </c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63"/>
      <c r="V32" s="50"/>
      <c r="W32" s="50"/>
      <c r="X32" s="50"/>
      <c r="Y32" s="50"/>
      <c r="Z32" s="50"/>
      <c r="AA32" s="50"/>
      <c r="AB32" s="50"/>
      <c r="AC32" s="50"/>
      <c r="AD32" s="62">
        <v>1</v>
      </c>
      <c r="AE32" s="50"/>
      <c r="AF32" s="50"/>
      <c r="AG32" s="50"/>
      <c r="AH32" s="83">
        <f t="shared" si="10"/>
        <v>1</v>
      </c>
      <c r="AI32" s="50"/>
      <c r="AJ32" s="50">
        <f t="shared" si="11"/>
        <v>0</v>
      </c>
      <c r="AK32" s="50">
        <f ca="1">IF(AI32&gt;=AJ32,INT($F32/5)+6-SUM(AB32:AG32),INT($F32/5)+6-(SUM(V32:AG32)-AI32))</f>
        <v>5</v>
      </c>
      <c r="AL32" s="64"/>
      <c r="AM32" s="128"/>
      <c r="AN32" s="128"/>
      <c r="AO32" s="128"/>
      <c r="AP32" s="128"/>
      <c r="AQ32" s="128"/>
      <c r="AR32" s="128">
        <v>8</v>
      </c>
      <c r="AS32" s="128"/>
      <c r="AT32" s="128"/>
      <c r="AU32" s="128"/>
      <c r="AV32" s="128"/>
      <c r="AW32" s="128"/>
      <c r="AX32" s="128"/>
      <c r="AY32" s="83">
        <f t="shared" si="12"/>
        <v>8</v>
      </c>
      <c r="AZ32" s="18">
        <f t="shared" ca="1" si="0"/>
        <v>9</v>
      </c>
    </row>
    <row r="33" spans="2:52">
      <c r="B33" s="65" t="s">
        <v>124</v>
      </c>
      <c r="C33" s="71">
        <v>42485</v>
      </c>
      <c r="D33" s="71"/>
      <c r="E33" s="94"/>
      <c r="F33" s="67">
        <f t="shared" ca="1" si="7"/>
        <v>2</v>
      </c>
      <c r="G33" s="67">
        <f t="shared" ca="1" si="8"/>
        <v>4</v>
      </c>
      <c r="H33" s="67">
        <f t="shared" ca="1" si="9"/>
        <v>29</v>
      </c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63"/>
      <c r="V33" s="50"/>
      <c r="W33" s="50"/>
      <c r="X33" s="50"/>
      <c r="Y33" s="50"/>
      <c r="Z33" s="50"/>
      <c r="AA33" s="50"/>
      <c r="AB33" s="50"/>
      <c r="AC33" s="50"/>
      <c r="AD33" s="62"/>
      <c r="AE33" s="50"/>
      <c r="AF33" s="50"/>
      <c r="AG33" s="50"/>
      <c r="AH33" s="83">
        <f t="shared" si="10"/>
        <v>0</v>
      </c>
      <c r="AI33" s="50"/>
      <c r="AJ33" s="50">
        <f t="shared" si="11"/>
        <v>0</v>
      </c>
      <c r="AK33" s="50">
        <f ca="1">IF(AI33&gt;=AJ33,INT($F33/5)+6-SUM(AB33:AG33),INT($F33/5)+6-(SUM(V33:AG33)-AI33))</f>
        <v>6</v>
      </c>
      <c r="AL33" s="64"/>
      <c r="AM33" s="128"/>
      <c r="AN33" s="128"/>
      <c r="AO33" s="128"/>
      <c r="AP33" s="128"/>
      <c r="AQ33" s="128"/>
      <c r="AR33" s="128"/>
      <c r="AS33" s="128">
        <v>4</v>
      </c>
      <c r="AT33" s="128"/>
      <c r="AU33" s="128"/>
      <c r="AV33" s="128"/>
      <c r="AW33" s="128"/>
      <c r="AX33" s="128"/>
      <c r="AY33" s="83">
        <f t="shared" si="12"/>
        <v>4</v>
      </c>
      <c r="AZ33" s="18">
        <f t="shared" ca="1" si="0"/>
        <v>14</v>
      </c>
    </row>
    <row r="34" spans="2:52">
      <c r="B34" s="65" t="s">
        <v>140</v>
      </c>
      <c r="C34" s="66">
        <v>42542</v>
      </c>
      <c r="D34" s="66"/>
      <c r="E34" s="91"/>
      <c r="F34" s="67">
        <f t="shared" ca="1" si="7"/>
        <v>2</v>
      </c>
      <c r="G34" s="67">
        <f t="shared" ca="1" si="8"/>
        <v>3</v>
      </c>
      <c r="H34" s="67">
        <f t="shared" ca="1" si="9"/>
        <v>2</v>
      </c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63"/>
      <c r="V34" s="50"/>
      <c r="W34" s="50"/>
      <c r="X34" s="50"/>
      <c r="Y34" s="50"/>
      <c r="Z34" s="50"/>
      <c r="AA34" s="50"/>
      <c r="AB34" s="50"/>
      <c r="AC34" s="50"/>
      <c r="AD34" s="62"/>
      <c r="AE34" s="50"/>
      <c r="AF34" s="50"/>
      <c r="AG34" s="50"/>
      <c r="AH34" s="83">
        <f t="shared" si="10"/>
        <v>0</v>
      </c>
      <c r="AI34" s="50"/>
      <c r="AJ34" s="50">
        <f t="shared" si="11"/>
        <v>0</v>
      </c>
      <c r="AK34" s="50">
        <f ca="1">IF(AI34&gt;=AJ34,INT($F34/5)+4-SUM(AB34:AG34),INT($F34/5)+4-(SUM(V34:AG34)-AI34))</f>
        <v>4</v>
      </c>
      <c r="AL34" s="64"/>
      <c r="AM34" s="128"/>
      <c r="AN34" s="128"/>
      <c r="AO34" s="128">
        <v>3</v>
      </c>
      <c r="AP34" s="128"/>
      <c r="AQ34" s="128"/>
      <c r="AR34" s="128"/>
      <c r="AS34" s="128">
        <v>4</v>
      </c>
      <c r="AT34" s="128"/>
      <c r="AU34" s="128"/>
      <c r="AV34" s="128"/>
      <c r="AW34" s="128"/>
      <c r="AX34" s="128"/>
      <c r="AY34" s="83">
        <f t="shared" si="12"/>
        <v>7</v>
      </c>
      <c r="AZ34" s="18">
        <f t="shared" ca="1" si="0"/>
        <v>9</v>
      </c>
    </row>
    <row r="35" spans="2:52" ht="12.5">
      <c r="B35" s="68" t="s">
        <v>146</v>
      </c>
      <c r="C35" s="69"/>
      <c r="D35" s="69"/>
      <c r="E35" s="90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70"/>
      <c r="V35" s="69"/>
      <c r="W35" s="69"/>
      <c r="X35" s="69"/>
      <c r="Y35" s="69"/>
      <c r="Z35" s="69"/>
      <c r="AA35" s="69"/>
      <c r="AB35" s="69"/>
      <c r="AC35" s="69"/>
      <c r="AD35" s="113"/>
      <c r="AE35" s="69"/>
      <c r="AF35" s="69"/>
      <c r="AG35" s="69"/>
      <c r="AH35" s="81"/>
      <c r="AI35" s="69"/>
      <c r="AJ35" s="69"/>
      <c r="AK35" s="69"/>
      <c r="AL35" s="137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81"/>
      <c r="AZ35" s="18">
        <f t="shared" si="0"/>
        <v>12</v>
      </c>
    </row>
    <row r="36" spans="2:52" ht="14">
      <c r="B36" s="65" t="s">
        <v>44</v>
      </c>
      <c r="C36" s="66">
        <v>39083</v>
      </c>
      <c r="D36" s="148"/>
      <c r="E36" s="101" t="s">
        <v>180</v>
      </c>
      <c r="F36" s="67">
        <f ca="1">DATEDIF(C36,TODAY(),"Y")</f>
        <v>11</v>
      </c>
      <c r="G36" s="67">
        <f ca="1">DATEDIF(C36,TODAY(),"YM")</f>
        <v>8</v>
      </c>
      <c r="H36" s="67">
        <f ca="1">DATEDIF(C36,TODAY(),"MD")</f>
        <v>22</v>
      </c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63"/>
      <c r="V36" s="50"/>
      <c r="W36" s="50"/>
      <c r="X36" s="50"/>
      <c r="Y36" s="50"/>
      <c r="Z36" s="50"/>
      <c r="AA36" s="50"/>
      <c r="AB36" s="50"/>
      <c r="AC36" s="50"/>
      <c r="AD36" s="62">
        <v>1</v>
      </c>
      <c r="AE36" s="50"/>
      <c r="AF36" s="50"/>
      <c r="AG36" s="50">
        <v>1</v>
      </c>
      <c r="AH36" s="83">
        <f>SUM(V36:AG36)</f>
        <v>2</v>
      </c>
      <c r="AI36" s="50"/>
      <c r="AJ36" s="50">
        <f>SUM(V36:AA36)</f>
        <v>0</v>
      </c>
      <c r="AK36" s="50">
        <f ca="1">IF(AI36&gt;=AJ36,INT($F36/5)+$A$1-SUM(AB36:AG36),INT($F36/5)+$A$1-(SUM(V36:AG36)-AI36))</f>
        <v>12</v>
      </c>
      <c r="AL36" s="64"/>
      <c r="AM36" s="128"/>
      <c r="AN36" s="128"/>
      <c r="AO36" s="128"/>
      <c r="AP36" s="128"/>
      <c r="AQ36" s="128"/>
      <c r="AR36" s="128"/>
      <c r="AS36" s="128"/>
      <c r="AT36" s="128">
        <v>4</v>
      </c>
      <c r="AU36" s="128">
        <v>1</v>
      </c>
      <c r="AV36" s="128">
        <v>2</v>
      </c>
      <c r="AW36" s="128"/>
      <c r="AX36" s="128"/>
      <c r="AY36" s="83">
        <f t="shared" ref="AY36:AY48" si="13">SUM(AM36:AX36)</f>
        <v>7</v>
      </c>
      <c r="AZ36" s="18">
        <f t="shared" ca="1" si="0"/>
        <v>17</v>
      </c>
    </row>
    <row r="37" spans="2:52">
      <c r="B37" s="65" t="s">
        <v>135</v>
      </c>
      <c r="C37" s="66">
        <v>42513</v>
      </c>
      <c r="D37" s="66"/>
      <c r="E37" s="91">
        <v>42583</v>
      </c>
      <c r="F37" s="67">
        <f ca="1">DATEDIF(C37,TODAY(),"Y")</f>
        <v>2</v>
      </c>
      <c r="G37" s="67">
        <f ca="1">DATEDIF(C37,TODAY(),"YM")</f>
        <v>4</v>
      </c>
      <c r="H37" s="67">
        <f ca="1">DATEDIF(C37,TODAY(),"MD")</f>
        <v>0</v>
      </c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63"/>
      <c r="V37" s="50"/>
      <c r="W37" s="50"/>
      <c r="X37" s="50"/>
      <c r="Y37" s="50"/>
      <c r="Z37" s="50"/>
      <c r="AA37" s="50"/>
      <c r="AB37" s="50"/>
      <c r="AC37" s="50"/>
      <c r="AD37" s="62">
        <v>1</v>
      </c>
      <c r="AE37" s="50">
        <v>2</v>
      </c>
      <c r="AF37" s="50"/>
      <c r="AG37" s="50"/>
      <c r="AH37" s="83">
        <f>SUM(V37:AG37)</f>
        <v>3</v>
      </c>
      <c r="AI37" s="50"/>
      <c r="AJ37" s="50">
        <f>SUM(V37:AA37)</f>
        <v>0</v>
      </c>
      <c r="AK37" s="50">
        <f ca="1">IF(AI37&gt;=AJ37,INT($F37/5)+$A$1-SUM(AB37:AG37),INT($F37/5)+$A$1-(SUM(V37:AG37)-AI37))</f>
        <v>9</v>
      </c>
      <c r="AL37" s="64"/>
      <c r="AM37" s="128">
        <v>4</v>
      </c>
      <c r="AN37" s="128"/>
      <c r="AO37" s="128">
        <v>3</v>
      </c>
      <c r="AP37" s="128"/>
      <c r="AQ37" s="128"/>
      <c r="AR37" s="128"/>
      <c r="AS37" s="128">
        <v>1</v>
      </c>
      <c r="AT37" s="128">
        <v>4</v>
      </c>
      <c r="AU37" s="128"/>
      <c r="AV37" s="128"/>
      <c r="AW37" s="128">
        <v>3</v>
      </c>
      <c r="AX37" s="128"/>
      <c r="AY37" s="83">
        <f t="shared" si="13"/>
        <v>15</v>
      </c>
      <c r="AZ37" s="18">
        <f t="shared" ca="1" si="0"/>
        <v>6</v>
      </c>
    </row>
    <row r="38" spans="2:52">
      <c r="B38" s="65" t="s">
        <v>125</v>
      </c>
      <c r="C38" s="66">
        <v>42464</v>
      </c>
      <c r="D38" s="66"/>
      <c r="E38" s="91"/>
      <c r="F38" s="67">
        <f ca="1">DATEDIF(C38,TODAY(),"Y")</f>
        <v>2</v>
      </c>
      <c r="G38" s="67">
        <f ca="1">DATEDIF(C38,TODAY(),"YM")</f>
        <v>5</v>
      </c>
      <c r="H38" s="67">
        <f ca="1">DATEDIF(C38,TODAY(),"MD")</f>
        <v>19</v>
      </c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63"/>
      <c r="V38" s="50"/>
      <c r="W38" s="50"/>
      <c r="X38" s="50"/>
      <c r="Y38" s="50"/>
      <c r="Z38" s="50"/>
      <c r="AA38" s="50"/>
      <c r="AB38" s="50"/>
      <c r="AC38" s="50"/>
      <c r="AD38" s="62">
        <v>1</v>
      </c>
      <c r="AE38" s="50"/>
      <c r="AF38" s="50"/>
      <c r="AG38" s="50"/>
      <c r="AH38" s="83">
        <f>SUM(V38:AG38)</f>
        <v>1</v>
      </c>
      <c r="AI38" s="50"/>
      <c r="AJ38" s="50">
        <f>SUM(V38:AA38)</f>
        <v>0</v>
      </c>
      <c r="AK38" s="50">
        <f ca="1">IF(AI38&gt;=AJ38,INT($F38/5)+7-SUM(AB38:AG38),INT($F38/5)+7-(SUM(V38:AG38)-AI38))</f>
        <v>6</v>
      </c>
      <c r="AL38" s="64"/>
      <c r="AM38" s="128"/>
      <c r="AN38" s="128"/>
      <c r="AO38" s="128"/>
      <c r="AP38" s="128"/>
      <c r="AQ38" s="128"/>
      <c r="AR38" s="128"/>
      <c r="AS38" s="128"/>
      <c r="AT38" s="128"/>
      <c r="AU38" s="128"/>
      <c r="AV38" s="128"/>
      <c r="AW38" s="128"/>
      <c r="AX38" s="128"/>
      <c r="AY38" s="83">
        <f t="shared" si="13"/>
        <v>0</v>
      </c>
      <c r="AZ38" s="18">
        <f t="shared" ca="1" si="0"/>
        <v>18</v>
      </c>
    </row>
    <row r="39" spans="2:52">
      <c r="B39" s="65" t="s">
        <v>159</v>
      </c>
      <c r="C39" s="66">
        <v>42569</v>
      </c>
      <c r="D39" s="66"/>
      <c r="E39" s="91"/>
      <c r="F39" s="67">
        <f ca="1">DATEDIF(C39,TODAY(),"Y")</f>
        <v>2</v>
      </c>
      <c r="G39" s="67">
        <f ca="1">DATEDIF(C39,TODAY(),"YM")</f>
        <v>2</v>
      </c>
      <c r="H39" s="67">
        <f ca="1">DATEDIF(C39,TODAY(),"MD")</f>
        <v>5</v>
      </c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63"/>
      <c r="V39" s="50"/>
      <c r="W39" s="50"/>
      <c r="X39" s="50"/>
      <c r="Y39" s="50"/>
      <c r="Z39" s="50"/>
      <c r="AA39" s="50"/>
      <c r="AB39" s="50"/>
      <c r="AC39" s="50"/>
      <c r="AD39" s="62"/>
      <c r="AE39" s="50"/>
      <c r="AF39" s="50"/>
      <c r="AG39" s="50"/>
      <c r="AH39" s="83">
        <f>SUM(V39:AG39)</f>
        <v>0</v>
      </c>
      <c r="AI39" s="50"/>
      <c r="AJ39" s="50">
        <f>SUM(V39:AA39)</f>
        <v>0</v>
      </c>
      <c r="AK39" s="50">
        <f ca="1">IF(AI39&gt;=AJ39,INT($F39/5)+3-SUM(AB39:AG39),INT($F39/5)+3-(SUM(V39:AG39)-AI39))</f>
        <v>3</v>
      </c>
      <c r="AL39" s="64"/>
      <c r="AM39" s="128"/>
      <c r="AN39" s="128"/>
      <c r="AO39" s="128"/>
      <c r="AP39" s="128"/>
      <c r="AQ39" s="128">
        <v>3</v>
      </c>
      <c r="AR39" s="128">
        <v>3</v>
      </c>
      <c r="AS39" s="128">
        <v>3</v>
      </c>
      <c r="AT39" s="128">
        <v>3</v>
      </c>
      <c r="AU39" s="128"/>
      <c r="AV39" s="128"/>
      <c r="AW39" s="128"/>
      <c r="AX39" s="128"/>
      <c r="AY39" s="83">
        <f t="shared" si="13"/>
        <v>12</v>
      </c>
      <c r="AZ39" s="18">
        <f t="shared" ca="1" si="0"/>
        <v>3</v>
      </c>
    </row>
    <row r="40" spans="2:52">
      <c r="B40" s="65" t="s">
        <v>163</v>
      </c>
      <c r="C40" s="66">
        <v>42591</v>
      </c>
      <c r="D40" s="66"/>
      <c r="E40" s="91"/>
      <c r="F40" s="67">
        <f ca="1">DATEDIF(C40,TODAY(),"Y")</f>
        <v>2</v>
      </c>
      <c r="G40" s="67">
        <f ca="1">DATEDIF(C40,TODAY(),"YM")</f>
        <v>1</v>
      </c>
      <c r="H40" s="67">
        <f ca="1">DATEDIF(C40,TODAY(),"MD")</f>
        <v>14</v>
      </c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63"/>
      <c r="V40" s="50"/>
      <c r="W40" s="50"/>
      <c r="X40" s="50"/>
      <c r="Y40" s="50"/>
      <c r="Z40" s="50"/>
      <c r="AA40" s="50"/>
      <c r="AB40" s="50"/>
      <c r="AC40" s="50"/>
      <c r="AD40" s="62"/>
      <c r="AE40" s="50"/>
      <c r="AF40" s="50"/>
      <c r="AG40" s="50"/>
      <c r="AH40" s="83">
        <f>SUM(V40:AG40)</f>
        <v>0</v>
      </c>
      <c r="AI40" s="50"/>
      <c r="AJ40" s="50">
        <f>SUM(V40:AA40)</f>
        <v>0</v>
      </c>
      <c r="AK40" s="50">
        <f ca="1">IF(AI40&gt;=AJ40,INT($F40/5)+3-SUM(AB40:AG40),INT($F40/5)+3-(SUM(V40:AG40)-AI40))</f>
        <v>3</v>
      </c>
      <c r="AL40" s="64"/>
      <c r="AM40" s="128">
        <v>1</v>
      </c>
      <c r="AN40" s="128"/>
      <c r="AO40" s="128"/>
      <c r="AP40" s="128"/>
      <c r="AQ40" s="128"/>
      <c r="AR40" s="128"/>
      <c r="AS40" s="128"/>
      <c r="AT40" s="128"/>
      <c r="AU40" s="128"/>
      <c r="AV40" s="128"/>
      <c r="AW40" s="128"/>
      <c r="AX40" s="128"/>
      <c r="AY40" s="83">
        <f t="shared" si="13"/>
        <v>1</v>
      </c>
      <c r="AZ40" s="18">
        <f t="shared" ca="1" si="0"/>
        <v>14</v>
      </c>
    </row>
    <row r="41" spans="2:52">
      <c r="B41" s="68" t="s">
        <v>147</v>
      </c>
      <c r="C41" s="69"/>
      <c r="D41" s="69"/>
      <c r="E41" s="90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70"/>
      <c r="V41" s="69"/>
      <c r="W41" s="69"/>
      <c r="X41" s="69"/>
      <c r="Y41" s="69"/>
      <c r="Z41" s="69"/>
      <c r="AA41" s="69"/>
      <c r="AB41" s="69"/>
      <c r="AC41" s="69"/>
      <c r="AD41" s="113"/>
      <c r="AE41" s="69"/>
      <c r="AF41" s="69"/>
      <c r="AG41" s="69"/>
      <c r="AH41" s="81"/>
      <c r="AI41" s="69"/>
      <c r="AJ41" s="69"/>
      <c r="AK41" s="69"/>
      <c r="AL41" s="137"/>
      <c r="AM41" s="129"/>
      <c r="AN41" s="129"/>
      <c r="AO41" s="129"/>
      <c r="AP41" s="129"/>
      <c r="AQ41" s="129"/>
      <c r="AR41" s="129"/>
      <c r="AS41" s="129"/>
      <c r="AT41" s="129"/>
      <c r="AU41" s="129"/>
      <c r="AV41" s="129"/>
      <c r="AW41" s="129"/>
      <c r="AX41" s="129"/>
      <c r="AY41" s="83">
        <f t="shared" si="13"/>
        <v>0</v>
      </c>
      <c r="AZ41" s="18">
        <f t="shared" si="0"/>
        <v>12</v>
      </c>
    </row>
    <row r="42" spans="2:52">
      <c r="B42" s="65" t="s">
        <v>12</v>
      </c>
      <c r="C42" s="71">
        <v>40848</v>
      </c>
      <c r="D42" s="71"/>
      <c r="E42" s="94" t="s">
        <v>188</v>
      </c>
      <c r="F42" s="67">
        <f ca="1">DATEDIF(C42,TODAY(),"Y")</f>
        <v>6</v>
      </c>
      <c r="G42" s="67">
        <f ca="1">DATEDIF(C42,TODAY(),"YM")</f>
        <v>10</v>
      </c>
      <c r="H42" s="67">
        <f ca="1">DATEDIF(C42,TODAY(),"MD")</f>
        <v>22</v>
      </c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63"/>
      <c r="V42" s="50"/>
      <c r="W42" s="50"/>
      <c r="X42" s="50"/>
      <c r="Y42" s="50"/>
      <c r="Z42" s="50"/>
      <c r="AA42" s="50"/>
      <c r="AB42" s="50"/>
      <c r="AC42" s="50"/>
      <c r="AD42" s="62"/>
      <c r="AE42" s="50"/>
      <c r="AF42" s="50"/>
      <c r="AG42" s="50"/>
      <c r="AH42" s="83">
        <f>SUM(V42:AG42)</f>
        <v>0</v>
      </c>
      <c r="AI42" s="50"/>
      <c r="AJ42" s="50">
        <f>SUM(V42:AA42)</f>
        <v>0</v>
      </c>
      <c r="AK42" s="50">
        <f ca="1">IF(AI42&gt;=AJ42,INT($F42/5)+$A$1-SUM(AB42:AG42),INT($F42/5)+$A$1-(SUM(V42:AG42)-AI42))</f>
        <v>13</v>
      </c>
      <c r="AL42" s="64"/>
      <c r="AM42" s="128"/>
      <c r="AN42" s="128"/>
      <c r="AO42" s="128"/>
      <c r="AP42" s="128"/>
      <c r="AQ42" s="128"/>
      <c r="AR42" s="128"/>
      <c r="AS42" s="128"/>
      <c r="AT42" s="128"/>
      <c r="AU42" s="128"/>
      <c r="AV42" s="128"/>
      <c r="AW42" s="128"/>
      <c r="AX42" s="128"/>
      <c r="AY42" s="83">
        <f t="shared" si="13"/>
        <v>0</v>
      </c>
      <c r="AZ42" s="18">
        <f t="shared" ca="1" si="0"/>
        <v>25</v>
      </c>
    </row>
    <row r="43" spans="2:52">
      <c r="B43" s="65" t="s">
        <v>34</v>
      </c>
      <c r="C43" s="71">
        <v>41487</v>
      </c>
      <c r="D43" s="71"/>
      <c r="E43" s="94" t="s">
        <v>188</v>
      </c>
      <c r="F43" s="67">
        <f ca="1">DATEDIF(C43,TODAY(),"Y")</f>
        <v>5</v>
      </c>
      <c r="G43" s="67">
        <f ca="1">DATEDIF(C43,TODAY(),"YM")</f>
        <v>1</v>
      </c>
      <c r="H43" s="67">
        <f ca="1">DATEDIF(C43,TODAY(),"MD")</f>
        <v>22</v>
      </c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63"/>
      <c r="V43" s="50"/>
      <c r="W43" s="50"/>
      <c r="X43" s="50"/>
      <c r="Y43" s="50"/>
      <c r="Z43" s="50"/>
      <c r="AA43" s="50">
        <v>2</v>
      </c>
      <c r="AB43" s="50"/>
      <c r="AC43" s="50"/>
      <c r="AD43" s="62">
        <v>2</v>
      </c>
      <c r="AE43" s="50"/>
      <c r="AF43" s="50"/>
      <c r="AG43" s="50">
        <v>1</v>
      </c>
      <c r="AH43" s="83">
        <f>SUM(V43:AG43)</f>
        <v>5</v>
      </c>
      <c r="AI43" s="50"/>
      <c r="AJ43" s="50">
        <f>SUM(V43:AA43)</f>
        <v>2</v>
      </c>
      <c r="AK43" s="50">
        <f ca="1">IF(AI43&gt;=AJ43,INT($F43/5)+$A$1-SUM(AB43:AG43),INT($F43/5)+$A$1-(SUM(V43:AG43)-AI43))</f>
        <v>8</v>
      </c>
      <c r="AL43" s="64"/>
      <c r="AM43" s="128">
        <v>4</v>
      </c>
      <c r="AN43" s="128">
        <v>0</v>
      </c>
      <c r="AO43" s="128">
        <v>0</v>
      </c>
      <c r="AP43" s="128">
        <v>2</v>
      </c>
      <c r="AQ43" s="128"/>
      <c r="AR43" s="128"/>
      <c r="AS43" s="128">
        <v>1</v>
      </c>
      <c r="AT43" s="128"/>
      <c r="AU43" s="128">
        <v>4</v>
      </c>
      <c r="AV43" s="128">
        <v>3</v>
      </c>
      <c r="AW43" s="128">
        <v>2</v>
      </c>
      <c r="AX43" s="128"/>
      <c r="AY43" s="83">
        <f t="shared" si="13"/>
        <v>16</v>
      </c>
      <c r="AZ43" s="18">
        <f t="shared" ca="1" si="0"/>
        <v>4</v>
      </c>
    </row>
    <row r="44" spans="2:52">
      <c r="B44" s="65" t="s">
        <v>116</v>
      </c>
      <c r="C44" s="71">
        <v>42430</v>
      </c>
      <c r="D44" s="71"/>
      <c r="E44" s="94"/>
      <c r="F44" s="67">
        <f ca="1">DATEDIF(C44,TODAY(),"Y")</f>
        <v>2</v>
      </c>
      <c r="G44" s="67">
        <f ca="1">DATEDIF(C44,TODAY(),"YM")</f>
        <v>6</v>
      </c>
      <c r="H44" s="67">
        <f ca="1">DATEDIF(C44,TODAY(),"MD")</f>
        <v>22</v>
      </c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63"/>
      <c r="V44" s="50"/>
      <c r="W44" s="50"/>
      <c r="X44" s="50"/>
      <c r="Y44" s="50"/>
      <c r="Z44" s="50"/>
      <c r="AA44" s="50"/>
      <c r="AB44" s="50"/>
      <c r="AC44" s="50"/>
      <c r="AD44" s="62"/>
      <c r="AE44" s="50">
        <v>1</v>
      </c>
      <c r="AF44" s="50"/>
      <c r="AG44" s="50"/>
      <c r="AH44" s="83">
        <f>SUM(V44:AG44)</f>
        <v>1</v>
      </c>
      <c r="AI44" s="50"/>
      <c r="AJ44" s="50">
        <f>SUM(V44:AA44)</f>
        <v>0</v>
      </c>
      <c r="AK44" s="50">
        <f ca="1">IF(AI44&gt;=AJ44,INT($F44/5)+7-SUM(AB44:AG44),INT($F44/5)+7-(SUM(V44:AG44)-AI44))</f>
        <v>6</v>
      </c>
      <c r="AL44" s="64"/>
      <c r="AM44" s="128"/>
      <c r="AN44" s="128"/>
      <c r="AO44" s="128"/>
      <c r="AP44" s="128"/>
      <c r="AQ44" s="128"/>
      <c r="AR44" s="128"/>
      <c r="AS44" s="128"/>
      <c r="AT44" s="128"/>
      <c r="AU44" s="128"/>
      <c r="AV44" s="128"/>
      <c r="AW44" s="128"/>
      <c r="AX44" s="128"/>
      <c r="AY44" s="83">
        <f t="shared" si="13"/>
        <v>0</v>
      </c>
      <c r="AZ44" s="18">
        <f t="shared" ca="1" si="0"/>
        <v>18</v>
      </c>
    </row>
    <row r="45" spans="2:52">
      <c r="B45" s="65" t="s">
        <v>122</v>
      </c>
      <c r="C45" s="71">
        <v>42471</v>
      </c>
      <c r="D45" s="71"/>
      <c r="E45" s="94"/>
      <c r="F45" s="67">
        <f ca="1">DATEDIF(C45,TODAY(),"Y")</f>
        <v>2</v>
      </c>
      <c r="G45" s="67">
        <f ca="1">DATEDIF(C45,TODAY(),"YM")</f>
        <v>5</v>
      </c>
      <c r="H45" s="67">
        <f ca="1">DATEDIF(C45,TODAY(),"MD")</f>
        <v>12</v>
      </c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63"/>
      <c r="V45" s="50"/>
      <c r="W45" s="50"/>
      <c r="X45" s="50"/>
      <c r="Y45" s="50"/>
      <c r="Z45" s="50"/>
      <c r="AA45" s="50"/>
      <c r="AB45" s="50"/>
      <c r="AC45" s="50">
        <v>1</v>
      </c>
      <c r="AD45" s="62">
        <v>1</v>
      </c>
      <c r="AE45" s="50"/>
      <c r="AF45" s="50"/>
      <c r="AG45" s="50">
        <v>1</v>
      </c>
      <c r="AH45" s="83">
        <f>SUM(V45:AG45)</f>
        <v>3</v>
      </c>
      <c r="AI45" s="50"/>
      <c r="AJ45" s="50">
        <f>SUM(V45:AA45)</f>
        <v>0</v>
      </c>
      <c r="AK45" s="50">
        <f ca="1">IF(AI45&gt;=AJ45,INT($F45/5)+6-SUM(AB45:AG45),INT($F45/5)+6-(SUM(V45:AG45)-AI45))</f>
        <v>3</v>
      </c>
      <c r="AL45" s="64"/>
      <c r="AM45" s="128">
        <v>2</v>
      </c>
      <c r="AN45" s="128">
        <v>4</v>
      </c>
      <c r="AO45" s="128"/>
      <c r="AP45" s="128"/>
      <c r="AQ45" s="128"/>
      <c r="AR45" s="128">
        <v>1</v>
      </c>
      <c r="AS45" s="128">
        <v>3</v>
      </c>
      <c r="AT45" s="128"/>
      <c r="AU45" s="128"/>
      <c r="AV45" s="128"/>
      <c r="AW45" s="128"/>
      <c r="AX45" s="128"/>
      <c r="AY45" s="83">
        <f t="shared" si="13"/>
        <v>10</v>
      </c>
      <c r="AZ45" s="18">
        <f t="shared" ca="1" si="0"/>
        <v>5</v>
      </c>
    </row>
    <row r="46" spans="2:52">
      <c r="B46" s="65" t="s">
        <v>158</v>
      </c>
      <c r="C46" s="71">
        <v>42569</v>
      </c>
      <c r="D46" s="71"/>
      <c r="E46" s="94"/>
      <c r="F46" s="67">
        <f ca="1">DATEDIF(C46,TODAY(),"Y")</f>
        <v>2</v>
      </c>
      <c r="G46" s="67">
        <f ca="1">DATEDIF(C46,TODAY(),"YM")</f>
        <v>2</v>
      </c>
      <c r="H46" s="67">
        <f ca="1">DATEDIF(C46,TODAY(),"MD")</f>
        <v>5</v>
      </c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63"/>
      <c r="V46" s="50"/>
      <c r="W46" s="50"/>
      <c r="X46" s="50"/>
      <c r="Y46" s="50"/>
      <c r="Z46" s="50"/>
      <c r="AA46" s="50"/>
      <c r="AB46" s="50"/>
      <c r="AC46" s="50"/>
      <c r="AD46" s="62"/>
      <c r="AE46" s="50">
        <v>1</v>
      </c>
      <c r="AF46" s="50">
        <v>2</v>
      </c>
      <c r="AG46" s="50"/>
      <c r="AH46" s="83">
        <f>SUM(V46:AG46)</f>
        <v>3</v>
      </c>
      <c r="AI46" s="50"/>
      <c r="AJ46" s="50">
        <f>SUM(V46:AA46)</f>
        <v>0</v>
      </c>
      <c r="AK46" s="50">
        <f ca="1">IF(AI46&gt;=AJ46,INT($F46/5)+3-SUM(AB46:AG46),INT($F46/5)+3-(SUM(V46:AG46)-AI46))</f>
        <v>0</v>
      </c>
      <c r="AL46" s="64"/>
      <c r="AM46" s="128"/>
      <c r="AN46" s="128">
        <v>2</v>
      </c>
      <c r="AO46" s="128"/>
      <c r="AP46" s="128"/>
      <c r="AQ46" s="128">
        <v>6</v>
      </c>
      <c r="AR46" s="128"/>
      <c r="AS46" s="128"/>
      <c r="AT46" s="128"/>
      <c r="AU46" s="128">
        <v>1</v>
      </c>
      <c r="AV46" s="128">
        <v>2</v>
      </c>
      <c r="AW46" s="128"/>
      <c r="AX46" s="128"/>
      <c r="AY46" s="83">
        <f t="shared" si="13"/>
        <v>11</v>
      </c>
      <c r="AZ46" s="18">
        <f t="shared" ca="1" si="0"/>
        <v>1</v>
      </c>
    </row>
    <row r="47" spans="2:52">
      <c r="B47" s="68" t="s">
        <v>148</v>
      </c>
      <c r="C47" s="69"/>
      <c r="D47" s="69"/>
      <c r="E47" s="90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70"/>
      <c r="V47" s="69"/>
      <c r="W47" s="69"/>
      <c r="X47" s="69"/>
      <c r="Y47" s="69"/>
      <c r="Z47" s="69"/>
      <c r="AA47" s="69"/>
      <c r="AB47" s="69"/>
      <c r="AC47" s="69"/>
      <c r="AD47" s="113"/>
      <c r="AE47" s="69"/>
      <c r="AF47" s="69"/>
      <c r="AG47" s="69"/>
      <c r="AH47" s="81"/>
      <c r="AI47" s="69"/>
      <c r="AJ47" s="69"/>
      <c r="AK47" s="69"/>
      <c r="AL47" s="137"/>
      <c r="AM47" s="129"/>
      <c r="AN47" s="129"/>
      <c r="AO47" s="129"/>
      <c r="AP47" s="129"/>
      <c r="AQ47" s="129"/>
      <c r="AR47" s="129"/>
      <c r="AS47" s="129"/>
      <c r="AT47" s="129"/>
      <c r="AU47" s="129"/>
      <c r="AV47" s="129"/>
      <c r="AW47" s="129"/>
      <c r="AX47" s="129"/>
      <c r="AY47" s="83">
        <f t="shared" si="13"/>
        <v>0</v>
      </c>
      <c r="AZ47" s="18">
        <f t="shared" si="0"/>
        <v>12</v>
      </c>
    </row>
    <row r="48" spans="2:52">
      <c r="B48" s="65" t="s">
        <v>150</v>
      </c>
      <c r="C48" s="71">
        <v>42248</v>
      </c>
      <c r="D48" s="71"/>
      <c r="E48" s="94">
        <v>42614</v>
      </c>
      <c r="F48" s="67">
        <f ca="1">DATEDIF(C48,TODAY(),"Y")</f>
        <v>3</v>
      </c>
      <c r="G48" s="67">
        <f ca="1">DATEDIF(C48,TODAY(),"YM")</f>
        <v>0</v>
      </c>
      <c r="H48" s="67">
        <f ca="1">DATEDIF(C48,TODAY(),"MD")</f>
        <v>22</v>
      </c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63"/>
      <c r="V48" s="50"/>
      <c r="W48" s="50"/>
      <c r="X48" s="50"/>
      <c r="Y48" s="50"/>
      <c r="Z48" s="50"/>
      <c r="AA48" s="50"/>
      <c r="AB48" s="50"/>
      <c r="AC48" s="50"/>
      <c r="AD48" s="62">
        <v>1</v>
      </c>
      <c r="AE48" s="50">
        <v>2</v>
      </c>
      <c r="AF48" s="50"/>
      <c r="AG48" s="50">
        <v>3</v>
      </c>
      <c r="AH48" s="83">
        <f>SUM(V48:AG48)</f>
        <v>6</v>
      </c>
      <c r="AI48" s="50"/>
      <c r="AJ48" s="50">
        <f>SUM(V48:AA48)</f>
        <v>0</v>
      </c>
      <c r="AK48" s="50">
        <f ca="1">IF(AI48&gt;=AJ48,INT($F48/5)+$A$1-SUM(AB48:AG48),INT($F48/5)+$A$1-(SUM(V48:AG48)-AI48))</f>
        <v>6</v>
      </c>
      <c r="AL48" s="64"/>
      <c r="AM48" s="128">
        <v>3</v>
      </c>
      <c r="AN48" s="128">
        <v>1</v>
      </c>
      <c r="AO48" s="128">
        <v>3</v>
      </c>
      <c r="AP48" s="128">
        <v>0</v>
      </c>
      <c r="AQ48" s="128">
        <v>1</v>
      </c>
      <c r="AR48" s="128"/>
      <c r="AS48" s="128"/>
      <c r="AT48" s="128">
        <v>1</v>
      </c>
      <c r="AU48" s="128"/>
      <c r="AV48" s="128"/>
      <c r="AW48" s="128"/>
      <c r="AX48" s="128"/>
      <c r="AY48" s="83">
        <f t="shared" si="13"/>
        <v>9</v>
      </c>
      <c r="AZ48" s="18">
        <f t="shared" ca="1" si="0"/>
        <v>9</v>
      </c>
    </row>
    <row r="49" spans="2:52">
      <c r="B49" s="65" t="s">
        <v>120</v>
      </c>
      <c r="C49" s="71">
        <v>42443</v>
      </c>
      <c r="D49" s="71"/>
      <c r="E49" s="94"/>
      <c r="F49" s="67">
        <f t="shared" ref="F49:F54" ca="1" si="14">DATEDIF(C49,TODAY(),"Y")</f>
        <v>2</v>
      </c>
      <c r="G49" s="67">
        <f t="shared" ref="G49:G54" ca="1" si="15">DATEDIF(C49,TODAY(),"YM")</f>
        <v>6</v>
      </c>
      <c r="H49" s="67">
        <f t="shared" ref="H49:H54" ca="1" si="16">DATEDIF(C49,TODAY(),"MD")</f>
        <v>9</v>
      </c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63"/>
      <c r="V49" s="50"/>
      <c r="W49" s="50"/>
      <c r="X49" s="50"/>
      <c r="Y49" s="50"/>
      <c r="Z49" s="50"/>
      <c r="AA49" s="50"/>
      <c r="AB49" s="50"/>
      <c r="AC49" s="50"/>
      <c r="AD49" s="62"/>
      <c r="AE49" s="50"/>
      <c r="AF49" s="50"/>
      <c r="AG49" s="50"/>
      <c r="AH49" s="83">
        <f t="shared" ref="AH49:AH54" si="17">SUM(V49:AG49)</f>
        <v>0</v>
      </c>
      <c r="AI49" s="50"/>
      <c r="AJ49" s="50">
        <f t="shared" ref="AJ49:AJ54" si="18">SUM(V49:AA49)</f>
        <v>0</v>
      </c>
      <c r="AK49" s="50">
        <f ca="1">IF(AI49&gt;=AJ49,INT($F49/5)+7-SUM(AB49:AG49),INT($F49/5)+7-(SUM(V49:AG49)-AI49))</f>
        <v>7</v>
      </c>
      <c r="AL49" s="64"/>
      <c r="AM49" s="128"/>
      <c r="AN49" s="128"/>
      <c r="AO49" s="128"/>
      <c r="AP49" s="128"/>
      <c r="AQ49" s="128"/>
      <c r="AR49" s="128"/>
      <c r="AS49" s="128"/>
      <c r="AT49" s="128"/>
      <c r="AU49" s="128"/>
      <c r="AV49" s="128"/>
      <c r="AW49" s="128"/>
      <c r="AX49" s="128"/>
      <c r="AY49" s="83">
        <f t="shared" ref="AY49:AY55" si="19">SUM(AM49:AX49)</f>
        <v>0</v>
      </c>
      <c r="AZ49" s="18">
        <f t="shared" ca="1" si="0"/>
        <v>19</v>
      </c>
    </row>
    <row r="50" spans="2:52">
      <c r="B50" s="65" t="s">
        <v>139</v>
      </c>
      <c r="C50" s="71">
        <v>42513</v>
      </c>
      <c r="D50" s="71"/>
      <c r="E50" s="94"/>
      <c r="F50" s="67">
        <f t="shared" ca="1" si="14"/>
        <v>2</v>
      </c>
      <c r="G50" s="67">
        <f t="shared" ca="1" si="15"/>
        <v>4</v>
      </c>
      <c r="H50" s="67">
        <f t="shared" ca="1" si="16"/>
        <v>0</v>
      </c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63"/>
      <c r="V50" s="50"/>
      <c r="W50" s="50"/>
      <c r="X50" s="50"/>
      <c r="Y50" s="50"/>
      <c r="Z50" s="50"/>
      <c r="AA50" s="50"/>
      <c r="AB50" s="50"/>
      <c r="AC50" s="50"/>
      <c r="AD50" s="62">
        <v>1</v>
      </c>
      <c r="AE50" s="50">
        <v>1</v>
      </c>
      <c r="AF50" s="50"/>
      <c r="AG50" s="50">
        <v>2</v>
      </c>
      <c r="AH50" s="83">
        <f t="shared" si="17"/>
        <v>4</v>
      </c>
      <c r="AI50" s="50"/>
      <c r="AJ50" s="50">
        <f t="shared" si="18"/>
        <v>0</v>
      </c>
      <c r="AK50" s="50">
        <f ca="1">IF(AI50&gt;=AJ50,INT($F50/5)+5-SUM(AB50:AG50),INT($F50/5)+5-(SUM(V50:AG50)-AI50))</f>
        <v>1</v>
      </c>
      <c r="AL50" s="64"/>
      <c r="AM50" s="128">
        <v>1</v>
      </c>
      <c r="AN50" s="128">
        <v>2</v>
      </c>
      <c r="AO50" s="128"/>
      <c r="AP50" s="128"/>
      <c r="AQ50" s="128"/>
      <c r="AR50" s="128"/>
      <c r="AS50" s="128"/>
      <c r="AT50" s="128"/>
      <c r="AU50" s="128"/>
      <c r="AV50" s="128"/>
      <c r="AW50" s="128"/>
      <c r="AX50" s="128"/>
      <c r="AY50" s="83">
        <f t="shared" si="19"/>
        <v>3</v>
      </c>
      <c r="AZ50" s="18">
        <f t="shared" ca="1" si="0"/>
        <v>10</v>
      </c>
    </row>
    <row r="51" spans="2:52">
      <c r="B51" s="65" t="s">
        <v>130</v>
      </c>
      <c r="C51" s="71">
        <v>42515</v>
      </c>
      <c r="D51" s="71"/>
      <c r="E51" s="94"/>
      <c r="F51" s="67">
        <f t="shared" ca="1" si="14"/>
        <v>2</v>
      </c>
      <c r="G51" s="67">
        <f t="shared" ca="1" si="15"/>
        <v>3</v>
      </c>
      <c r="H51" s="67">
        <f t="shared" ca="1" si="16"/>
        <v>29</v>
      </c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63"/>
      <c r="V51" s="50"/>
      <c r="W51" s="50"/>
      <c r="X51" s="50"/>
      <c r="Y51" s="50"/>
      <c r="Z51" s="50"/>
      <c r="AA51" s="50"/>
      <c r="AB51" s="50"/>
      <c r="AC51" s="50"/>
      <c r="AD51" s="62">
        <v>1</v>
      </c>
      <c r="AE51" s="50"/>
      <c r="AF51" s="50"/>
      <c r="AG51" s="50">
        <v>1</v>
      </c>
      <c r="AH51" s="83">
        <f t="shared" si="17"/>
        <v>2</v>
      </c>
      <c r="AI51" s="50"/>
      <c r="AJ51" s="50">
        <f t="shared" si="18"/>
        <v>0</v>
      </c>
      <c r="AK51" s="50">
        <f ca="1">IF(AI51&gt;=AJ51,INT($F51/5)+5-SUM(AB51:AG51),INT($F51/5)+5-(SUM(V51:AG51)-AI51))</f>
        <v>3</v>
      </c>
      <c r="AL51" s="64"/>
      <c r="AM51" s="128">
        <v>1</v>
      </c>
      <c r="AN51" s="128"/>
      <c r="AO51" s="128">
        <v>4</v>
      </c>
      <c r="AP51" s="128"/>
      <c r="AQ51" s="128"/>
      <c r="AR51" s="128">
        <v>1</v>
      </c>
      <c r="AS51" s="128">
        <v>1</v>
      </c>
      <c r="AT51" s="128"/>
      <c r="AU51" s="128"/>
      <c r="AV51" s="128">
        <v>2</v>
      </c>
      <c r="AW51" s="128"/>
      <c r="AX51" s="128"/>
      <c r="AY51" s="83">
        <f t="shared" si="19"/>
        <v>9</v>
      </c>
      <c r="AZ51" s="18">
        <f t="shared" ca="1" si="0"/>
        <v>6</v>
      </c>
    </row>
    <row r="52" spans="2:52">
      <c r="B52" s="65" t="s">
        <v>151</v>
      </c>
      <c r="C52" s="71">
        <v>42387</v>
      </c>
      <c r="D52" s="71"/>
      <c r="E52" s="94"/>
      <c r="F52" s="67">
        <f t="shared" ca="1" si="14"/>
        <v>2</v>
      </c>
      <c r="G52" s="67">
        <f t="shared" ca="1" si="15"/>
        <v>8</v>
      </c>
      <c r="H52" s="67">
        <f t="shared" ca="1" si="16"/>
        <v>5</v>
      </c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63"/>
      <c r="V52" s="50"/>
      <c r="W52" s="50"/>
      <c r="X52" s="50"/>
      <c r="Y52" s="50"/>
      <c r="Z52" s="50"/>
      <c r="AA52" s="50"/>
      <c r="AB52" s="50"/>
      <c r="AC52" s="50">
        <v>1</v>
      </c>
      <c r="AD52" s="62">
        <v>1</v>
      </c>
      <c r="AE52" s="50"/>
      <c r="AF52" s="50"/>
      <c r="AG52" s="50">
        <v>1</v>
      </c>
      <c r="AH52" s="83">
        <f t="shared" si="17"/>
        <v>3</v>
      </c>
      <c r="AI52" s="50"/>
      <c r="AJ52" s="50">
        <f t="shared" si="18"/>
        <v>0</v>
      </c>
      <c r="AK52" s="50">
        <f ca="1">IF(AI52&gt;=AJ52,INT($F52/5)+9-SUM(AB52:AG52),INT($F52/5)+9-(SUM(V52:AG52)-AI52))</f>
        <v>6</v>
      </c>
      <c r="AL52" s="64"/>
      <c r="AM52" s="128">
        <v>4</v>
      </c>
      <c r="AN52" s="128"/>
      <c r="AO52" s="128">
        <v>3</v>
      </c>
      <c r="AP52" s="128">
        <v>3</v>
      </c>
      <c r="AQ52" s="128"/>
      <c r="AR52" s="128"/>
      <c r="AS52" s="128"/>
      <c r="AT52" s="128"/>
      <c r="AU52" s="128"/>
      <c r="AV52" s="128"/>
      <c r="AW52" s="128"/>
      <c r="AX52" s="128"/>
      <c r="AY52" s="83">
        <f t="shared" si="19"/>
        <v>10</v>
      </c>
      <c r="AZ52" s="18">
        <f t="shared" ca="1" si="0"/>
        <v>8</v>
      </c>
    </row>
    <row r="53" spans="2:52">
      <c r="B53" s="65" t="s">
        <v>152</v>
      </c>
      <c r="C53" s="71">
        <v>42387</v>
      </c>
      <c r="D53" s="71"/>
      <c r="E53" s="94"/>
      <c r="F53" s="67">
        <f t="shared" ca="1" si="14"/>
        <v>2</v>
      </c>
      <c r="G53" s="67">
        <f t="shared" ca="1" si="15"/>
        <v>8</v>
      </c>
      <c r="H53" s="67">
        <f t="shared" ca="1" si="16"/>
        <v>5</v>
      </c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63"/>
      <c r="V53" s="50"/>
      <c r="W53" s="50"/>
      <c r="X53" s="50"/>
      <c r="Y53" s="50"/>
      <c r="Z53" s="50"/>
      <c r="AA53" s="50"/>
      <c r="AB53" s="50"/>
      <c r="AC53" s="50">
        <v>2</v>
      </c>
      <c r="AD53" s="62">
        <v>1</v>
      </c>
      <c r="AE53" s="50">
        <v>1</v>
      </c>
      <c r="AF53" s="50"/>
      <c r="AG53" s="50">
        <v>1</v>
      </c>
      <c r="AH53" s="83">
        <f t="shared" si="17"/>
        <v>5</v>
      </c>
      <c r="AI53" s="50"/>
      <c r="AJ53" s="50">
        <f t="shared" si="18"/>
        <v>0</v>
      </c>
      <c r="AK53" s="50">
        <f ca="1">IF(AI53&gt;=AJ53,INT($F53/5)+9-SUM(AB53:AG53),INT($F53/5)+9-(SUM(V53:AG53)-AI53))</f>
        <v>4</v>
      </c>
      <c r="AL53" s="64"/>
      <c r="AM53" s="128">
        <v>2</v>
      </c>
      <c r="AN53" s="128">
        <v>3</v>
      </c>
      <c r="AO53" s="128">
        <v>1</v>
      </c>
      <c r="AP53" s="128">
        <v>2</v>
      </c>
      <c r="AQ53" s="128"/>
      <c r="AR53" s="128"/>
      <c r="AS53" s="128"/>
      <c r="AT53" s="128"/>
      <c r="AU53" s="128"/>
      <c r="AV53" s="128"/>
      <c r="AW53" s="128"/>
      <c r="AX53" s="128"/>
      <c r="AY53" s="83">
        <f t="shared" si="19"/>
        <v>8</v>
      </c>
      <c r="AZ53" s="18">
        <f t="shared" ca="1" si="0"/>
        <v>8</v>
      </c>
    </row>
    <row r="54" spans="2:52">
      <c r="B54" s="65" t="s">
        <v>160</v>
      </c>
      <c r="C54" s="71">
        <v>42565</v>
      </c>
      <c r="D54" s="71"/>
      <c r="E54" s="94"/>
      <c r="F54" s="67">
        <f t="shared" ca="1" si="14"/>
        <v>2</v>
      </c>
      <c r="G54" s="67">
        <f t="shared" ca="1" si="15"/>
        <v>2</v>
      </c>
      <c r="H54" s="67">
        <f t="shared" ca="1" si="16"/>
        <v>9</v>
      </c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63"/>
      <c r="V54" s="50"/>
      <c r="W54" s="50"/>
      <c r="X54" s="50"/>
      <c r="Y54" s="50"/>
      <c r="Z54" s="50"/>
      <c r="AA54" s="50"/>
      <c r="AB54" s="50"/>
      <c r="AC54" s="50"/>
      <c r="AD54" s="62"/>
      <c r="AE54" s="50">
        <v>1</v>
      </c>
      <c r="AF54" s="50"/>
      <c r="AG54" s="50">
        <v>2</v>
      </c>
      <c r="AH54" s="83">
        <f t="shared" si="17"/>
        <v>3</v>
      </c>
      <c r="AI54" s="50"/>
      <c r="AJ54" s="50">
        <f t="shared" si="18"/>
        <v>0</v>
      </c>
      <c r="AK54" s="50">
        <f ca="1">IF(AI54&gt;=AJ54,INT($F54/5)+3-SUM(AB54:AG54),INT($F54/5)+3-(SUM(V54:AG54)-AI54))</f>
        <v>0</v>
      </c>
      <c r="AL54" s="64"/>
      <c r="AM54" s="128">
        <v>1</v>
      </c>
      <c r="AN54" s="128">
        <v>1</v>
      </c>
      <c r="AO54" s="128">
        <v>1</v>
      </c>
      <c r="AP54" s="128">
        <v>1</v>
      </c>
      <c r="AQ54" s="128">
        <v>1</v>
      </c>
      <c r="AR54" s="128">
        <v>2</v>
      </c>
      <c r="AS54" s="128">
        <v>1</v>
      </c>
      <c r="AT54" s="128">
        <v>1</v>
      </c>
      <c r="AU54" s="128">
        <v>2</v>
      </c>
      <c r="AV54" s="128">
        <v>1</v>
      </c>
      <c r="AW54" s="128"/>
      <c r="AX54" s="128"/>
      <c r="AY54" s="83">
        <f t="shared" si="19"/>
        <v>12</v>
      </c>
      <c r="AZ54" s="18">
        <f t="shared" ca="1" si="0"/>
        <v>0</v>
      </c>
    </row>
    <row r="55" spans="2:52">
      <c r="B55" s="65" t="s">
        <v>207</v>
      </c>
      <c r="C55" s="158">
        <v>42887</v>
      </c>
      <c r="D55" s="158"/>
      <c r="E55" s="159"/>
      <c r="F55" s="160"/>
      <c r="G55" s="160"/>
      <c r="H55" s="16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63"/>
      <c r="V55" s="50"/>
      <c r="W55" s="50"/>
      <c r="X55" s="50"/>
      <c r="Y55" s="50"/>
      <c r="Z55" s="50"/>
      <c r="AA55" s="50"/>
      <c r="AB55" s="50"/>
      <c r="AC55" s="50"/>
      <c r="AD55" s="62"/>
      <c r="AE55" s="50"/>
      <c r="AF55" s="50"/>
      <c r="AG55" s="50"/>
      <c r="AH55" s="83"/>
      <c r="AI55" s="50"/>
      <c r="AJ55" s="50"/>
      <c r="AK55" s="50"/>
      <c r="AL55" s="64"/>
      <c r="AM55" s="128"/>
      <c r="AN55" s="128"/>
      <c r="AO55" s="128"/>
      <c r="AP55" s="128"/>
      <c r="AQ55" s="128"/>
      <c r="AR55" s="128"/>
      <c r="AS55" s="128"/>
      <c r="AT55" s="128"/>
      <c r="AU55" s="128"/>
      <c r="AV55" s="128"/>
      <c r="AW55" s="128"/>
      <c r="AX55" s="128"/>
      <c r="AY55" s="83">
        <f t="shared" si="19"/>
        <v>0</v>
      </c>
      <c r="AZ55" s="18">
        <f t="shared" si="0"/>
        <v>12</v>
      </c>
    </row>
    <row r="56" spans="2:52" s="75" customFormat="1" ht="15.75" customHeight="1">
      <c r="E56" s="96"/>
      <c r="U56" s="76"/>
      <c r="AD56" s="112"/>
      <c r="AH56" s="85"/>
      <c r="AL56" s="134"/>
      <c r="AM56" s="127"/>
      <c r="AN56" s="127"/>
      <c r="AO56" s="127"/>
      <c r="AP56" s="127"/>
      <c r="AQ56" s="127"/>
      <c r="AR56" s="127"/>
      <c r="AS56" s="127"/>
      <c r="AT56" s="127"/>
      <c r="AU56" s="127"/>
      <c r="AV56" s="127"/>
      <c r="AW56" s="127"/>
      <c r="AX56" s="127"/>
      <c r="AY56" s="157">
        <f t="shared" ref="AY56:AY66" si="20">SUM(AM56:AX56)</f>
        <v>0</v>
      </c>
      <c r="AZ56" s="18">
        <f t="shared" si="0"/>
        <v>12</v>
      </c>
    </row>
    <row r="57" spans="2:52">
      <c r="B57" s="51" t="s">
        <v>213</v>
      </c>
      <c r="C57" s="52"/>
      <c r="D57" s="52"/>
      <c r="E57" s="97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7"/>
      <c r="V57" s="52"/>
      <c r="W57" s="52"/>
      <c r="X57" s="52"/>
      <c r="Y57" s="52"/>
      <c r="Z57" s="52"/>
      <c r="AA57" s="52"/>
      <c r="AB57" s="52"/>
      <c r="AC57" s="52"/>
      <c r="AD57" s="115"/>
      <c r="AE57" s="52"/>
      <c r="AF57" s="52"/>
      <c r="AG57" s="52"/>
      <c r="AH57" s="86"/>
      <c r="AI57" s="52"/>
      <c r="AJ57" s="52"/>
      <c r="AK57" s="52"/>
      <c r="AL57" s="139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83">
        <f t="shared" si="20"/>
        <v>0</v>
      </c>
      <c r="AZ57" s="18">
        <f t="shared" si="0"/>
        <v>12</v>
      </c>
    </row>
    <row r="58" spans="2:52">
      <c r="B58" s="53" t="s">
        <v>153</v>
      </c>
      <c r="C58" s="55"/>
      <c r="D58" s="55"/>
      <c r="E58" s="98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7"/>
      <c r="V58" s="55"/>
      <c r="W58" s="55"/>
      <c r="X58" s="55"/>
      <c r="Y58" s="55"/>
      <c r="Z58" s="55"/>
      <c r="AA58" s="55"/>
      <c r="AB58" s="55"/>
      <c r="AC58" s="55"/>
      <c r="AD58" s="115"/>
      <c r="AE58" s="55"/>
      <c r="AF58" s="55"/>
      <c r="AG58" s="55"/>
      <c r="AH58" s="87"/>
      <c r="AI58" s="55"/>
      <c r="AJ58" s="55"/>
      <c r="AK58" s="55"/>
      <c r="AL58" s="139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83">
        <f t="shared" si="20"/>
        <v>0</v>
      </c>
      <c r="AZ58" s="18">
        <f t="shared" si="0"/>
        <v>12</v>
      </c>
    </row>
    <row r="59" spans="2:52">
      <c r="B59" s="25" t="s">
        <v>51</v>
      </c>
      <c r="C59" s="48">
        <v>37712</v>
      </c>
      <c r="D59" s="151"/>
      <c r="E59" s="93" t="s">
        <v>183</v>
      </c>
      <c r="F59" s="67">
        <f t="shared" ref="F59:F66" ca="1" si="21">DATEDIF(C59,TODAY(),"Y")</f>
        <v>15</v>
      </c>
      <c r="G59" s="67">
        <f t="shared" ref="G59:G64" ca="1" si="22">DATEDIF(C59,TODAY(),"YM")</f>
        <v>5</v>
      </c>
      <c r="H59" s="67">
        <f t="shared" ref="H59:H64" ca="1" si="23">DATEDIF(C59,TODAY(),"MD")</f>
        <v>22</v>
      </c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63"/>
      <c r="V59" s="50"/>
      <c r="W59" s="50"/>
      <c r="X59" s="50"/>
      <c r="Y59" s="50"/>
      <c r="Z59" s="50">
        <v>2</v>
      </c>
      <c r="AA59" s="50">
        <v>4</v>
      </c>
      <c r="AB59" s="50"/>
      <c r="AC59" s="50"/>
      <c r="AD59" s="62"/>
      <c r="AE59" s="50">
        <v>7</v>
      </c>
      <c r="AF59" s="50"/>
      <c r="AG59" s="50"/>
      <c r="AH59" s="83">
        <f t="shared" ref="AH59:AH66" si="24">SUM(V59:AG59)</f>
        <v>13</v>
      </c>
      <c r="AI59" s="50"/>
      <c r="AJ59" s="50">
        <f t="shared" ref="AJ59:AJ64" si="25">SUM(V59:AA59)</f>
        <v>6</v>
      </c>
      <c r="AK59" s="50">
        <f t="shared" ref="AK59:AK64" ca="1" si="26">IF(AI59&gt;=AJ59,INT($F59/5)+$A$1-SUM(AB59:AG59),INT($F59/5)+$A$1-(SUM(V59:AG59)-AI59))</f>
        <v>2</v>
      </c>
      <c r="AL59" s="64"/>
      <c r="AM59" s="128">
        <v>7</v>
      </c>
      <c r="AN59" s="128"/>
      <c r="AO59" s="128"/>
      <c r="AP59" s="128"/>
      <c r="AQ59" s="128">
        <v>3</v>
      </c>
      <c r="AR59" s="128"/>
      <c r="AS59" s="128"/>
      <c r="AT59" s="128">
        <v>1</v>
      </c>
      <c r="AU59" s="128"/>
      <c r="AV59" s="128">
        <v>2</v>
      </c>
      <c r="AW59" s="165"/>
      <c r="AX59" s="165"/>
      <c r="AY59" s="163">
        <f t="shared" si="20"/>
        <v>13</v>
      </c>
      <c r="AZ59" s="18">
        <f t="shared" ca="1" si="0"/>
        <v>1</v>
      </c>
    </row>
    <row r="60" spans="2:52">
      <c r="B60" s="25" t="s">
        <v>60</v>
      </c>
      <c r="C60" s="48">
        <v>40486</v>
      </c>
      <c r="D60" s="152"/>
      <c r="E60" s="99" t="s">
        <v>187</v>
      </c>
      <c r="F60" s="67">
        <f t="shared" ca="1" si="21"/>
        <v>7</v>
      </c>
      <c r="G60" s="67">
        <f t="shared" ca="1" si="22"/>
        <v>10</v>
      </c>
      <c r="H60" s="67">
        <f t="shared" ca="1" si="23"/>
        <v>19</v>
      </c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63"/>
      <c r="V60" s="50"/>
      <c r="W60" s="50">
        <v>2</v>
      </c>
      <c r="X60" s="50"/>
      <c r="Y60" s="50"/>
      <c r="Z60" s="50"/>
      <c r="AA60" s="50"/>
      <c r="AB60" s="50"/>
      <c r="AC60" s="50"/>
      <c r="AD60" s="62"/>
      <c r="AE60" s="50"/>
      <c r="AF60" s="50">
        <v>1</v>
      </c>
      <c r="AG60" s="50">
        <v>1</v>
      </c>
      <c r="AH60" s="83">
        <f t="shared" si="24"/>
        <v>4</v>
      </c>
      <c r="AI60" s="50"/>
      <c r="AJ60" s="50">
        <f t="shared" si="25"/>
        <v>2</v>
      </c>
      <c r="AK60" s="50">
        <f t="shared" ca="1" si="26"/>
        <v>9</v>
      </c>
      <c r="AL60" s="64"/>
      <c r="AM60" s="128"/>
      <c r="AN60" s="128"/>
      <c r="AO60" s="128"/>
      <c r="AP60" s="128"/>
      <c r="AQ60" s="128"/>
      <c r="AR60" s="128"/>
      <c r="AS60" s="128"/>
      <c r="AT60" s="128">
        <v>2</v>
      </c>
      <c r="AU60" s="128"/>
      <c r="AV60" s="128"/>
      <c r="AW60" s="128"/>
      <c r="AX60" s="128"/>
      <c r="AY60" s="83">
        <f t="shared" si="20"/>
        <v>2</v>
      </c>
      <c r="AZ60" s="18">
        <f t="shared" ca="1" si="0"/>
        <v>19</v>
      </c>
    </row>
    <row r="61" spans="2:52">
      <c r="B61" s="25" t="s">
        <v>35</v>
      </c>
      <c r="C61" s="48">
        <v>41682</v>
      </c>
      <c r="D61" s="152"/>
      <c r="E61" s="99" t="s">
        <v>190</v>
      </c>
      <c r="F61" s="67">
        <f t="shared" ca="1" si="21"/>
        <v>4</v>
      </c>
      <c r="G61" s="67">
        <f t="shared" ca="1" si="22"/>
        <v>7</v>
      </c>
      <c r="H61" s="67">
        <f t="shared" ca="1" si="23"/>
        <v>11</v>
      </c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63"/>
      <c r="V61" s="50"/>
      <c r="W61" s="50"/>
      <c r="X61" s="50"/>
      <c r="Y61" s="50"/>
      <c r="Z61" s="50"/>
      <c r="AA61" s="50"/>
      <c r="AB61" s="50"/>
      <c r="AC61" s="50"/>
      <c r="AD61" s="62"/>
      <c r="AE61" s="50"/>
      <c r="AF61" s="50"/>
      <c r="AG61" s="50"/>
      <c r="AH61" s="83">
        <f t="shared" si="24"/>
        <v>0</v>
      </c>
      <c r="AI61" s="50"/>
      <c r="AJ61" s="50">
        <f t="shared" si="25"/>
        <v>0</v>
      </c>
      <c r="AK61" s="50">
        <f t="shared" ca="1" si="26"/>
        <v>12</v>
      </c>
      <c r="AL61" s="64"/>
      <c r="AM61" s="128">
        <v>1</v>
      </c>
      <c r="AN61" s="128">
        <v>1</v>
      </c>
      <c r="AO61" s="128"/>
      <c r="AP61" s="128"/>
      <c r="AQ61" s="128"/>
      <c r="AR61" s="128"/>
      <c r="AS61" s="128"/>
      <c r="AT61" s="128"/>
      <c r="AU61" s="128"/>
      <c r="AV61" s="128"/>
      <c r="AW61" s="128"/>
      <c r="AX61" s="128"/>
      <c r="AY61" s="83">
        <f t="shared" si="20"/>
        <v>2</v>
      </c>
      <c r="AZ61" s="18">
        <f t="shared" ca="1" si="0"/>
        <v>22</v>
      </c>
    </row>
    <row r="62" spans="2:52">
      <c r="B62" s="25" t="s">
        <v>67</v>
      </c>
      <c r="C62" s="48">
        <v>42125</v>
      </c>
      <c r="D62" s="152"/>
      <c r="E62" s="99">
        <v>42614</v>
      </c>
      <c r="F62" s="67">
        <f t="shared" ca="1" si="21"/>
        <v>3</v>
      </c>
      <c r="G62" s="67">
        <f t="shared" ca="1" si="22"/>
        <v>4</v>
      </c>
      <c r="H62" s="67">
        <f t="shared" ca="1" si="23"/>
        <v>22</v>
      </c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63"/>
      <c r="V62" s="50"/>
      <c r="W62" s="50"/>
      <c r="X62" s="50"/>
      <c r="Y62" s="50"/>
      <c r="Z62" s="50"/>
      <c r="AA62" s="50"/>
      <c r="AB62" s="50"/>
      <c r="AC62" s="50"/>
      <c r="AD62" s="62">
        <v>9</v>
      </c>
      <c r="AE62" s="50"/>
      <c r="AF62" s="50"/>
      <c r="AG62" s="50">
        <v>2</v>
      </c>
      <c r="AH62" s="83">
        <f t="shared" si="24"/>
        <v>11</v>
      </c>
      <c r="AI62" s="50"/>
      <c r="AJ62" s="50">
        <f t="shared" si="25"/>
        <v>0</v>
      </c>
      <c r="AK62" s="50">
        <f t="shared" ca="1" si="26"/>
        <v>1</v>
      </c>
      <c r="AL62" s="64"/>
      <c r="AM62" s="128">
        <v>1</v>
      </c>
      <c r="AN62" s="128">
        <v>1</v>
      </c>
      <c r="AO62" s="128"/>
      <c r="AP62" s="128"/>
      <c r="AQ62" s="128"/>
      <c r="AR62" s="128"/>
      <c r="AS62" s="128"/>
      <c r="AT62" s="128"/>
      <c r="AU62" s="128"/>
      <c r="AV62" s="128"/>
      <c r="AW62" s="128"/>
      <c r="AX62" s="128"/>
      <c r="AY62" s="83">
        <f t="shared" si="20"/>
        <v>2</v>
      </c>
      <c r="AZ62" s="18">
        <f t="shared" ca="1" si="0"/>
        <v>11</v>
      </c>
    </row>
    <row r="63" spans="2:52">
      <c r="B63" s="25" t="s">
        <v>96</v>
      </c>
      <c r="C63" s="48">
        <v>42217</v>
      </c>
      <c r="D63" s="152"/>
      <c r="E63" s="99">
        <v>42614</v>
      </c>
      <c r="F63" s="67">
        <f t="shared" ca="1" si="21"/>
        <v>3</v>
      </c>
      <c r="G63" s="67">
        <f t="shared" ca="1" si="22"/>
        <v>1</v>
      </c>
      <c r="H63" s="67">
        <f t="shared" ca="1" si="23"/>
        <v>22</v>
      </c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63"/>
      <c r="V63" s="50"/>
      <c r="W63" s="50"/>
      <c r="X63" s="50"/>
      <c r="Y63" s="50"/>
      <c r="Z63" s="50"/>
      <c r="AA63" s="50"/>
      <c r="AB63" s="50"/>
      <c r="AC63" s="50"/>
      <c r="AD63" s="62"/>
      <c r="AE63" s="50"/>
      <c r="AF63" s="50"/>
      <c r="AG63" s="50"/>
      <c r="AH63" s="83">
        <f t="shared" si="24"/>
        <v>0</v>
      </c>
      <c r="AI63" s="50"/>
      <c r="AJ63" s="50">
        <f t="shared" si="25"/>
        <v>0</v>
      </c>
      <c r="AK63" s="50">
        <f t="shared" ca="1" si="26"/>
        <v>12</v>
      </c>
      <c r="AL63" s="64"/>
      <c r="AM63" s="128">
        <v>0</v>
      </c>
      <c r="AN63" s="128"/>
      <c r="AO63" s="128"/>
      <c r="AP63" s="128"/>
      <c r="AQ63" s="128"/>
      <c r="AR63" s="128"/>
      <c r="AS63" s="128"/>
      <c r="AT63" s="128"/>
      <c r="AU63" s="128">
        <v>1</v>
      </c>
      <c r="AV63" s="128"/>
      <c r="AW63" s="128">
        <v>1</v>
      </c>
      <c r="AX63" s="128"/>
      <c r="AY63" s="83">
        <f t="shared" si="20"/>
        <v>2</v>
      </c>
      <c r="AZ63" s="18">
        <f t="shared" ca="1" si="0"/>
        <v>22</v>
      </c>
    </row>
    <row r="64" spans="2:52">
      <c r="B64" s="25" t="s">
        <v>99</v>
      </c>
      <c r="C64" s="48">
        <v>42248</v>
      </c>
      <c r="D64" s="152"/>
      <c r="E64" s="99">
        <v>42614</v>
      </c>
      <c r="F64" s="67">
        <f t="shared" ca="1" si="21"/>
        <v>3</v>
      </c>
      <c r="G64" s="67">
        <f t="shared" ca="1" si="22"/>
        <v>0</v>
      </c>
      <c r="H64" s="67">
        <f t="shared" ca="1" si="23"/>
        <v>22</v>
      </c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63"/>
      <c r="V64" s="50"/>
      <c r="W64" s="50"/>
      <c r="X64" s="50"/>
      <c r="Y64" s="50"/>
      <c r="Z64" s="50"/>
      <c r="AA64" s="50"/>
      <c r="AB64" s="50"/>
      <c r="AC64" s="50"/>
      <c r="AD64" s="62"/>
      <c r="AE64" s="50"/>
      <c r="AF64" s="50"/>
      <c r="AG64" s="50"/>
      <c r="AH64" s="83">
        <f t="shared" si="24"/>
        <v>0</v>
      </c>
      <c r="AI64" s="50"/>
      <c r="AJ64" s="50">
        <f t="shared" si="25"/>
        <v>0</v>
      </c>
      <c r="AK64" s="50">
        <f t="shared" ca="1" si="26"/>
        <v>12</v>
      </c>
      <c r="AL64" s="64"/>
      <c r="AM64" s="128">
        <v>0</v>
      </c>
      <c r="AN64" s="128">
        <v>1</v>
      </c>
      <c r="AO64" s="128"/>
      <c r="AP64" s="128"/>
      <c r="AQ64" s="128"/>
      <c r="AR64" s="128"/>
      <c r="AS64" s="128"/>
      <c r="AT64" s="128"/>
      <c r="AU64" s="128"/>
      <c r="AV64" s="128"/>
      <c r="AW64" s="128"/>
      <c r="AX64" s="128"/>
      <c r="AY64" s="83">
        <f t="shared" si="20"/>
        <v>1</v>
      </c>
      <c r="AZ64" s="18">
        <f t="shared" ca="1" si="0"/>
        <v>23</v>
      </c>
    </row>
    <row r="65" spans="2:52">
      <c r="B65" s="25" t="s">
        <v>132</v>
      </c>
      <c r="C65" s="48">
        <v>42501</v>
      </c>
      <c r="D65" s="152"/>
      <c r="E65" s="99"/>
      <c r="F65" s="67">
        <f t="shared" ca="1" si="21"/>
        <v>2</v>
      </c>
      <c r="G65" s="67">
        <f ca="1">DATEDIF(C65,TODAY(),"YM")</f>
        <v>4</v>
      </c>
      <c r="H65" s="67">
        <f ca="1">DATEDIF(C65,TODAY(),"MD")</f>
        <v>12</v>
      </c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63"/>
      <c r="V65" s="50"/>
      <c r="W65" s="50"/>
      <c r="X65" s="50"/>
      <c r="Y65" s="50"/>
      <c r="Z65" s="50"/>
      <c r="AA65" s="50"/>
      <c r="AB65" s="50"/>
      <c r="AC65" s="50"/>
      <c r="AD65" s="62"/>
      <c r="AE65" s="50"/>
      <c r="AF65" s="50"/>
      <c r="AG65" s="50">
        <v>2</v>
      </c>
      <c r="AH65" s="83">
        <f t="shared" si="24"/>
        <v>2</v>
      </c>
      <c r="AI65" s="50"/>
      <c r="AJ65" s="50">
        <f>SUM(V65:AA65)</f>
        <v>0</v>
      </c>
      <c r="AK65" s="50">
        <f ca="1">IF(AI65&gt;=AJ65,INT($F65/5)+5-SUM(AB65:AG65),INT($F65/5)+5-(SUM(V65:AG65)-AI65))</f>
        <v>3</v>
      </c>
      <c r="AL65" s="64"/>
      <c r="AM65" s="128"/>
      <c r="AN65" s="128"/>
      <c r="AO65" s="128"/>
      <c r="AP65" s="128"/>
      <c r="AQ65" s="128"/>
      <c r="AR65" s="128"/>
      <c r="AS65" s="128"/>
      <c r="AT65" s="128"/>
      <c r="AU65" s="128"/>
      <c r="AV65" s="128"/>
      <c r="AW65" s="128"/>
      <c r="AX65" s="128"/>
      <c r="AY65" s="83">
        <f t="shared" si="20"/>
        <v>0</v>
      </c>
      <c r="AZ65" s="18">
        <f t="shared" ca="1" si="0"/>
        <v>15</v>
      </c>
    </row>
    <row r="66" spans="2:52">
      <c r="B66" s="25" t="s">
        <v>164</v>
      </c>
      <c r="C66" s="48">
        <v>42604</v>
      </c>
      <c r="D66" s="152"/>
      <c r="E66" s="99"/>
      <c r="F66" s="67">
        <f t="shared" ca="1" si="21"/>
        <v>2</v>
      </c>
      <c r="G66" s="67">
        <f ca="1">DATEDIF(C66,TODAY(),"YM")</f>
        <v>1</v>
      </c>
      <c r="H66" s="67">
        <f ca="1">DATEDIF(C66,TODAY(),"MD")</f>
        <v>1</v>
      </c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63"/>
      <c r="V66" s="50"/>
      <c r="W66" s="50"/>
      <c r="X66" s="50"/>
      <c r="Y66" s="50"/>
      <c r="Z66" s="50"/>
      <c r="AA66" s="50"/>
      <c r="AB66" s="50"/>
      <c r="AC66" s="50"/>
      <c r="AD66" s="62"/>
      <c r="AE66" s="50"/>
      <c r="AF66" s="50"/>
      <c r="AG66" s="50"/>
      <c r="AH66" s="83">
        <f t="shared" si="24"/>
        <v>0</v>
      </c>
      <c r="AI66" s="50"/>
      <c r="AJ66" s="50">
        <f>SUM(V66:AA66)</f>
        <v>0</v>
      </c>
      <c r="AK66" s="50">
        <f ca="1">IF(AI66&gt;=AJ66,INT($F66/5)+2-SUM(AB66:AG66),INT($F66/5)+2-(SUM(V66:AG66)-AI66))</f>
        <v>2</v>
      </c>
      <c r="AL66" s="64"/>
      <c r="AM66" s="128">
        <v>0</v>
      </c>
      <c r="AN66" s="128">
        <v>1</v>
      </c>
      <c r="AO66" s="128"/>
      <c r="AP66" s="128"/>
      <c r="AQ66" s="128"/>
      <c r="AR66" s="128"/>
      <c r="AS66" s="128"/>
      <c r="AT66" s="128"/>
      <c r="AU66" s="128"/>
      <c r="AV66" s="128"/>
      <c r="AW66" s="128"/>
      <c r="AX66" s="128"/>
      <c r="AY66" s="83">
        <f t="shared" si="20"/>
        <v>1</v>
      </c>
      <c r="AZ66" s="18">
        <f t="shared" ca="1" si="0"/>
        <v>13</v>
      </c>
    </row>
    <row r="67" spans="2:52">
      <c r="B67" s="25" t="s">
        <v>194</v>
      </c>
      <c r="C67" s="48">
        <v>42788</v>
      </c>
      <c r="D67" s="152"/>
      <c r="E67" s="99"/>
      <c r="F67" s="67"/>
      <c r="G67" s="67"/>
      <c r="H67" s="67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63"/>
      <c r="V67" s="50"/>
      <c r="W67" s="50"/>
      <c r="X67" s="50"/>
      <c r="Y67" s="50"/>
      <c r="Z67" s="50"/>
      <c r="AA67" s="50"/>
      <c r="AB67" s="50"/>
      <c r="AC67" s="50"/>
      <c r="AD67" s="62"/>
      <c r="AE67" s="50"/>
      <c r="AF67" s="50"/>
      <c r="AG67" s="50"/>
      <c r="AH67" s="83"/>
      <c r="AI67" s="50"/>
      <c r="AJ67" s="50"/>
      <c r="AK67" s="50"/>
      <c r="AL67" s="64"/>
      <c r="AM67" s="128"/>
      <c r="AN67" s="128"/>
      <c r="AO67" s="128"/>
      <c r="AP67" s="128"/>
      <c r="AQ67" s="128"/>
      <c r="AR67" s="128"/>
      <c r="AS67" s="128"/>
      <c r="AT67" s="128"/>
      <c r="AU67" s="128"/>
      <c r="AV67" s="128"/>
      <c r="AW67" s="128"/>
      <c r="AX67" s="128"/>
      <c r="AY67" s="83">
        <f t="shared" ref="AY67:AY72" si="27">SUM(AM67:AX67)</f>
        <v>0</v>
      </c>
      <c r="AZ67" s="18">
        <f t="shared" si="0"/>
        <v>12</v>
      </c>
    </row>
    <row r="68" spans="2:52">
      <c r="B68" s="25" t="s">
        <v>199</v>
      </c>
      <c r="C68" s="48">
        <v>42805</v>
      </c>
      <c r="D68" s="152"/>
      <c r="E68" s="99"/>
      <c r="F68" s="67"/>
      <c r="G68" s="67"/>
      <c r="H68" s="67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63"/>
      <c r="V68" s="50"/>
      <c r="W68" s="50"/>
      <c r="X68" s="50"/>
      <c r="Y68" s="50"/>
      <c r="Z68" s="50"/>
      <c r="AA68" s="50"/>
      <c r="AB68" s="50"/>
      <c r="AC68" s="50"/>
      <c r="AD68" s="62"/>
      <c r="AE68" s="50"/>
      <c r="AF68" s="50"/>
      <c r="AG68" s="50"/>
      <c r="AH68" s="83"/>
      <c r="AI68" s="50"/>
      <c r="AJ68" s="50"/>
      <c r="AK68" s="50"/>
      <c r="AL68" s="64"/>
      <c r="AM68" s="128"/>
      <c r="AN68" s="128"/>
      <c r="AO68" s="128"/>
      <c r="AP68" s="128"/>
      <c r="AQ68" s="128"/>
      <c r="AR68" s="128"/>
      <c r="AS68" s="128"/>
      <c r="AT68" s="128"/>
      <c r="AU68" s="128">
        <v>1</v>
      </c>
      <c r="AV68" s="128"/>
      <c r="AW68" s="128">
        <v>1</v>
      </c>
      <c r="AX68" s="128"/>
      <c r="AY68" s="83">
        <f t="shared" si="27"/>
        <v>2</v>
      </c>
      <c r="AZ68" s="18">
        <f t="shared" si="0"/>
        <v>10</v>
      </c>
    </row>
    <row r="69" spans="2:52">
      <c r="B69" s="25" t="s">
        <v>200</v>
      </c>
      <c r="C69" s="48">
        <v>42795</v>
      </c>
      <c r="D69" s="152"/>
      <c r="E69" s="99"/>
      <c r="F69" s="67"/>
      <c r="G69" s="67"/>
      <c r="H69" s="67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63"/>
      <c r="V69" s="50"/>
      <c r="W69" s="50"/>
      <c r="X69" s="50"/>
      <c r="Y69" s="50"/>
      <c r="Z69" s="50"/>
      <c r="AA69" s="50"/>
      <c r="AB69" s="50"/>
      <c r="AC69" s="50"/>
      <c r="AD69" s="62"/>
      <c r="AE69" s="50"/>
      <c r="AF69" s="50"/>
      <c r="AG69" s="50"/>
      <c r="AH69" s="83"/>
      <c r="AI69" s="50"/>
      <c r="AJ69" s="50"/>
      <c r="AK69" s="50"/>
      <c r="AL69" s="64"/>
      <c r="AM69" s="128"/>
      <c r="AN69" s="128"/>
      <c r="AO69" s="128"/>
      <c r="AP69" s="128"/>
      <c r="AQ69" s="128"/>
      <c r="AR69" s="128"/>
      <c r="AS69" s="128"/>
      <c r="AT69" s="128"/>
      <c r="AU69" s="128"/>
      <c r="AV69" s="128"/>
      <c r="AW69" s="128"/>
      <c r="AX69" s="128"/>
      <c r="AY69" s="83">
        <f t="shared" si="27"/>
        <v>0</v>
      </c>
      <c r="AZ69" s="18">
        <f t="shared" si="0"/>
        <v>12</v>
      </c>
    </row>
    <row r="70" spans="2:52">
      <c r="B70" s="25" t="s">
        <v>202</v>
      </c>
      <c r="C70" s="48">
        <v>42826</v>
      </c>
      <c r="D70" s="152"/>
      <c r="E70" s="99"/>
      <c r="F70" s="67"/>
      <c r="G70" s="67"/>
      <c r="H70" s="67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63"/>
      <c r="V70" s="50"/>
      <c r="W70" s="50"/>
      <c r="X70" s="50"/>
      <c r="Y70" s="50"/>
      <c r="Z70" s="50"/>
      <c r="AA70" s="50"/>
      <c r="AB70" s="50"/>
      <c r="AC70" s="50"/>
      <c r="AD70" s="62"/>
      <c r="AE70" s="50"/>
      <c r="AF70" s="50"/>
      <c r="AG70" s="50"/>
      <c r="AH70" s="83"/>
      <c r="AI70" s="50"/>
      <c r="AJ70" s="50"/>
      <c r="AK70" s="50"/>
      <c r="AL70" s="64"/>
      <c r="AM70" s="128"/>
      <c r="AN70" s="128"/>
      <c r="AO70" s="128"/>
      <c r="AP70" s="128"/>
      <c r="AQ70" s="128"/>
      <c r="AR70" s="128"/>
      <c r="AS70" s="128"/>
      <c r="AT70" s="128"/>
      <c r="AU70" s="128"/>
      <c r="AV70" s="128"/>
      <c r="AW70" s="128"/>
      <c r="AX70" s="128"/>
      <c r="AY70" s="83">
        <f t="shared" si="27"/>
        <v>0</v>
      </c>
      <c r="AZ70" s="18">
        <f t="shared" si="0"/>
        <v>12</v>
      </c>
    </row>
    <row r="71" spans="2:52">
      <c r="B71" s="25" t="s">
        <v>203</v>
      </c>
      <c r="C71" s="48">
        <v>42863</v>
      </c>
      <c r="D71" s="152"/>
      <c r="E71" s="99"/>
      <c r="F71" s="67"/>
      <c r="G71" s="67"/>
      <c r="H71" s="67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63"/>
      <c r="V71" s="50"/>
      <c r="W71" s="50"/>
      <c r="X71" s="50"/>
      <c r="Y71" s="50"/>
      <c r="Z71" s="50"/>
      <c r="AA71" s="50"/>
      <c r="AB71" s="50"/>
      <c r="AC71" s="50"/>
      <c r="AD71" s="62"/>
      <c r="AE71" s="50"/>
      <c r="AF71" s="50"/>
      <c r="AG71" s="50"/>
      <c r="AH71" s="83"/>
      <c r="AI71" s="50"/>
      <c r="AJ71" s="50"/>
      <c r="AK71" s="50"/>
      <c r="AL71" s="64"/>
      <c r="AM71" s="128"/>
      <c r="AN71" s="128"/>
      <c r="AO71" s="128"/>
      <c r="AP71" s="128"/>
      <c r="AQ71" s="128"/>
      <c r="AR71" s="128"/>
      <c r="AS71" s="128"/>
      <c r="AT71" s="128"/>
      <c r="AU71" s="128">
        <v>2</v>
      </c>
      <c r="AV71" s="128">
        <v>1</v>
      </c>
      <c r="AW71" s="128">
        <v>1</v>
      </c>
      <c r="AX71" s="128"/>
      <c r="AY71" s="83">
        <f t="shared" si="27"/>
        <v>4</v>
      </c>
      <c r="AZ71" s="18">
        <f t="shared" si="0"/>
        <v>8</v>
      </c>
    </row>
    <row r="72" spans="2:52">
      <c r="B72" s="25"/>
      <c r="C72" s="48"/>
      <c r="D72" s="152"/>
      <c r="E72" s="99"/>
      <c r="F72" s="67"/>
      <c r="G72" s="67"/>
      <c r="H72" s="67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63"/>
      <c r="V72" s="50"/>
      <c r="W72" s="50"/>
      <c r="X72" s="50"/>
      <c r="Y72" s="50"/>
      <c r="Z72" s="50"/>
      <c r="AA72" s="50"/>
      <c r="AB72" s="50"/>
      <c r="AC72" s="50"/>
      <c r="AD72" s="62"/>
      <c r="AE72" s="50"/>
      <c r="AF72" s="50"/>
      <c r="AG72" s="50"/>
      <c r="AH72" s="83"/>
      <c r="AI72" s="50"/>
      <c r="AJ72" s="50"/>
      <c r="AK72" s="50"/>
      <c r="AL72" s="64"/>
      <c r="AM72" s="128"/>
      <c r="AN72" s="128"/>
      <c r="AO72" s="128"/>
      <c r="AP72" s="128"/>
      <c r="AQ72" s="128"/>
      <c r="AR72" s="128"/>
      <c r="AS72" s="128"/>
      <c r="AT72" s="128"/>
      <c r="AU72" s="128"/>
      <c r="AV72" s="128"/>
      <c r="AW72" s="128"/>
      <c r="AX72" s="128"/>
      <c r="AY72" s="83">
        <f t="shared" si="27"/>
        <v>0</v>
      </c>
      <c r="AZ72" s="18">
        <f t="shared" si="0"/>
        <v>12</v>
      </c>
    </row>
    <row r="73" spans="2:52">
      <c r="B73" s="54" t="s">
        <v>154</v>
      </c>
      <c r="C73" s="55"/>
      <c r="D73" s="55"/>
      <c r="E73" s="98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7"/>
      <c r="V73" s="55"/>
      <c r="W73" s="55"/>
      <c r="X73" s="55"/>
      <c r="Y73" s="55"/>
      <c r="Z73" s="55"/>
      <c r="AA73" s="55"/>
      <c r="AB73" s="55"/>
      <c r="AC73" s="55"/>
      <c r="AD73" s="115"/>
      <c r="AE73" s="55"/>
      <c r="AF73" s="55"/>
      <c r="AG73" s="55"/>
      <c r="AH73" s="87"/>
      <c r="AI73" s="55"/>
      <c r="AJ73" s="55"/>
      <c r="AK73" s="55"/>
      <c r="AL73" s="139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83">
        <f t="shared" ref="AY73:AY95" si="28">SUM(AM73:AX73)</f>
        <v>0</v>
      </c>
      <c r="AZ73" s="18">
        <f t="shared" si="0"/>
        <v>12</v>
      </c>
    </row>
    <row r="74" spans="2:52">
      <c r="B74" s="25" t="s">
        <v>30</v>
      </c>
      <c r="C74" s="48">
        <v>41061</v>
      </c>
      <c r="D74" s="152"/>
      <c r="E74" s="99" t="s">
        <v>187</v>
      </c>
      <c r="F74" s="67">
        <f t="shared" ref="F74:F82" ca="1" si="29">DATEDIF(C74,TODAY(),"Y")</f>
        <v>6</v>
      </c>
      <c r="G74" s="67">
        <f t="shared" ref="G74:G79" ca="1" si="30">DATEDIF(C74,TODAY(),"YM")</f>
        <v>3</v>
      </c>
      <c r="H74" s="67">
        <f t="shared" ref="H74:H79" ca="1" si="31">DATEDIF(C74,TODAY(),"MD")</f>
        <v>22</v>
      </c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63"/>
      <c r="V74" s="50"/>
      <c r="W74" s="50"/>
      <c r="X74" s="50"/>
      <c r="Y74" s="50"/>
      <c r="Z74" s="50">
        <v>4</v>
      </c>
      <c r="AA74" s="50"/>
      <c r="AB74" s="50"/>
      <c r="AC74" s="50"/>
      <c r="AD74" s="62"/>
      <c r="AE74" s="50">
        <v>0</v>
      </c>
      <c r="AF74" s="50"/>
      <c r="AG74" s="50"/>
      <c r="AH74" s="83">
        <f t="shared" ref="AH74:AH82" si="32">SUM(V74:AG74)</f>
        <v>4</v>
      </c>
      <c r="AI74" s="50"/>
      <c r="AJ74" s="50">
        <f t="shared" ref="AJ74:AJ79" si="33">SUM(V74:AA74)</f>
        <v>4</v>
      </c>
      <c r="AK74" s="50">
        <f ca="1">IF(AI74&gt;=AJ74,INT($F74/5)+$A$1-SUM(AB74:AG74),INT($F74/5)+$A$1-(SUM(V74:AG74)-AI74))</f>
        <v>9</v>
      </c>
      <c r="AL74" s="64"/>
      <c r="AM74" s="128">
        <v>1</v>
      </c>
      <c r="AN74" s="128"/>
      <c r="AO74" s="128"/>
      <c r="AP74" s="128"/>
      <c r="AQ74" s="128"/>
      <c r="AR74" s="128"/>
      <c r="AS74" s="128"/>
      <c r="AT74" s="128"/>
      <c r="AU74" s="128"/>
      <c r="AV74" s="128">
        <v>3</v>
      </c>
      <c r="AW74" s="128">
        <v>1</v>
      </c>
      <c r="AX74" s="128"/>
      <c r="AY74" s="83">
        <f t="shared" si="28"/>
        <v>5</v>
      </c>
      <c r="AZ74" s="18">
        <f t="shared" ca="1" si="0"/>
        <v>16</v>
      </c>
    </row>
    <row r="75" spans="2:52">
      <c r="B75" s="25" t="s">
        <v>101</v>
      </c>
      <c r="C75" s="48">
        <v>39508</v>
      </c>
      <c r="D75" s="151"/>
      <c r="E75" s="93" t="s">
        <v>184</v>
      </c>
      <c r="F75" s="67">
        <f t="shared" ca="1" si="29"/>
        <v>10</v>
      </c>
      <c r="G75" s="67">
        <f t="shared" ca="1" si="30"/>
        <v>6</v>
      </c>
      <c r="H75" s="67">
        <f t="shared" ca="1" si="31"/>
        <v>22</v>
      </c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63"/>
      <c r="V75" s="50">
        <v>1</v>
      </c>
      <c r="W75" s="50"/>
      <c r="X75" s="50"/>
      <c r="Y75" s="50"/>
      <c r="Z75" s="50">
        <v>3</v>
      </c>
      <c r="AA75" s="50"/>
      <c r="AB75" s="50"/>
      <c r="AC75" s="50"/>
      <c r="AD75" s="62">
        <v>1</v>
      </c>
      <c r="AE75" s="50"/>
      <c r="AF75" s="50"/>
      <c r="AG75" s="50"/>
      <c r="AH75" s="83">
        <f t="shared" si="32"/>
        <v>5</v>
      </c>
      <c r="AI75" s="50"/>
      <c r="AJ75" s="50">
        <f t="shared" si="33"/>
        <v>4</v>
      </c>
      <c r="AK75" s="50">
        <f ca="1">IF(AI75&gt;=AJ75,INT($F75/5)+$A$1-SUM(AB75:AG75),INT($F75/5)+$A$1-(SUM(V75:AG75)-AI75))</f>
        <v>9</v>
      </c>
      <c r="AL75" s="64"/>
      <c r="AM75" s="128">
        <v>1</v>
      </c>
      <c r="AN75" s="128"/>
      <c r="AO75" s="128"/>
      <c r="AP75" s="128"/>
      <c r="AQ75" s="128"/>
      <c r="AR75" s="128"/>
      <c r="AS75" s="128"/>
      <c r="AT75" s="128"/>
      <c r="AU75" s="128"/>
      <c r="AV75" s="128"/>
      <c r="AW75" s="128"/>
      <c r="AX75" s="128"/>
      <c r="AY75" s="83">
        <f t="shared" si="28"/>
        <v>1</v>
      </c>
      <c r="AZ75" s="18">
        <f t="shared" ca="1" si="0"/>
        <v>20</v>
      </c>
    </row>
    <row r="76" spans="2:52" s="111" customFormat="1">
      <c r="B76" s="104" t="s">
        <v>62</v>
      </c>
      <c r="C76" s="105">
        <v>42064</v>
      </c>
      <c r="D76" s="153"/>
      <c r="E76" s="106"/>
      <c r="F76" s="107">
        <f t="shared" ca="1" si="29"/>
        <v>3</v>
      </c>
      <c r="G76" s="107">
        <f t="shared" ca="1" si="30"/>
        <v>6</v>
      </c>
      <c r="H76" s="107">
        <f t="shared" ca="1" si="31"/>
        <v>22</v>
      </c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9"/>
      <c r="V76" s="108"/>
      <c r="W76" s="108"/>
      <c r="X76" s="108"/>
      <c r="Y76" s="108"/>
      <c r="Z76" s="108"/>
      <c r="AA76" s="108">
        <v>3</v>
      </c>
      <c r="AB76" s="108"/>
      <c r="AC76" s="108"/>
      <c r="AD76" s="116"/>
      <c r="AE76" s="108"/>
      <c r="AF76" s="108"/>
      <c r="AG76" s="108"/>
      <c r="AH76" s="110">
        <f t="shared" si="32"/>
        <v>3</v>
      </c>
      <c r="AI76" s="108"/>
      <c r="AJ76" s="108">
        <f t="shared" si="33"/>
        <v>3</v>
      </c>
      <c r="AK76" s="108">
        <f ca="1">IF(AI76&gt;=AJ76,INT($F76/5)+$A$1-SUM(AB76:AG76),INT($F76/5)+$A$1-(SUM(V76:AG76)-AI76))</f>
        <v>9</v>
      </c>
      <c r="AL76" s="140"/>
      <c r="AM76" s="130"/>
      <c r="AN76" s="130"/>
      <c r="AO76" s="130"/>
      <c r="AP76" s="130"/>
      <c r="AQ76" s="130"/>
      <c r="AR76" s="130"/>
      <c r="AS76" s="130"/>
      <c r="AT76" s="130"/>
      <c r="AU76" s="130"/>
      <c r="AV76" s="130"/>
      <c r="AW76" s="130"/>
      <c r="AX76" s="130"/>
      <c r="AY76" s="83">
        <f t="shared" si="28"/>
        <v>0</v>
      </c>
      <c r="AZ76" s="18">
        <f t="shared" ca="1" si="0"/>
        <v>21</v>
      </c>
    </row>
    <row r="77" spans="2:52">
      <c r="B77" s="25" t="s">
        <v>64</v>
      </c>
      <c r="C77" s="48">
        <v>42098</v>
      </c>
      <c r="D77" s="152"/>
      <c r="E77" s="99" t="s">
        <v>190</v>
      </c>
      <c r="F77" s="67">
        <f t="shared" ca="1" si="29"/>
        <v>3</v>
      </c>
      <c r="G77" s="67">
        <f t="shared" ca="1" si="30"/>
        <v>5</v>
      </c>
      <c r="H77" s="67">
        <f t="shared" ca="1" si="31"/>
        <v>19</v>
      </c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63"/>
      <c r="V77" s="50"/>
      <c r="W77" s="50"/>
      <c r="X77" s="50"/>
      <c r="Y77" s="50"/>
      <c r="Z77" s="50"/>
      <c r="AA77" s="50"/>
      <c r="AB77" s="50">
        <v>2</v>
      </c>
      <c r="AC77" s="50"/>
      <c r="AD77" s="62"/>
      <c r="AE77" s="50">
        <v>6</v>
      </c>
      <c r="AF77" s="50">
        <v>4</v>
      </c>
      <c r="AG77" s="50"/>
      <c r="AH77" s="83">
        <f t="shared" si="32"/>
        <v>12</v>
      </c>
      <c r="AI77" s="50"/>
      <c r="AJ77" s="50">
        <f t="shared" si="33"/>
        <v>0</v>
      </c>
      <c r="AK77" s="50">
        <f ca="1">IF(AI77&gt;=AJ77,INT($F77/5)+$A$1-SUM(AB77:AG77),INT($F77/5)+$A$1-(SUM(V77:AG77)-AI77))</f>
        <v>0</v>
      </c>
      <c r="AL77" s="64"/>
      <c r="AM77" s="128">
        <v>1</v>
      </c>
      <c r="AN77" s="128"/>
      <c r="AO77" s="128"/>
      <c r="AP77" s="128"/>
      <c r="AQ77" s="128"/>
      <c r="AR77" s="128"/>
      <c r="AS77" s="128"/>
      <c r="AT77" s="128"/>
      <c r="AU77" s="128"/>
      <c r="AV77" s="128"/>
      <c r="AW77" s="128">
        <v>1</v>
      </c>
      <c r="AX77" s="128"/>
      <c r="AY77" s="83">
        <f t="shared" si="28"/>
        <v>2</v>
      </c>
      <c r="AZ77" s="18">
        <f t="shared" ca="1" si="0"/>
        <v>10</v>
      </c>
    </row>
    <row r="78" spans="2:52">
      <c r="B78" s="25" t="s">
        <v>102</v>
      </c>
      <c r="C78" s="48">
        <v>42280</v>
      </c>
      <c r="D78" s="152"/>
      <c r="E78" s="99">
        <v>42614</v>
      </c>
      <c r="F78" s="67">
        <f t="shared" ca="1" si="29"/>
        <v>2</v>
      </c>
      <c r="G78" s="67">
        <f t="shared" ca="1" si="30"/>
        <v>11</v>
      </c>
      <c r="H78" s="67">
        <f t="shared" ca="1" si="31"/>
        <v>20</v>
      </c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63"/>
      <c r="V78" s="50"/>
      <c r="W78" s="50"/>
      <c r="X78" s="50"/>
      <c r="Y78" s="50"/>
      <c r="Z78" s="50"/>
      <c r="AA78" s="50"/>
      <c r="AB78" s="50">
        <v>3</v>
      </c>
      <c r="AC78" s="50"/>
      <c r="AD78" s="62"/>
      <c r="AE78" s="50"/>
      <c r="AF78" s="50"/>
      <c r="AG78" s="50"/>
      <c r="AH78" s="83">
        <f t="shared" si="32"/>
        <v>3</v>
      </c>
      <c r="AI78" s="50"/>
      <c r="AJ78" s="50">
        <f t="shared" si="33"/>
        <v>0</v>
      </c>
      <c r="AK78" s="50">
        <f ca="1">IF(AI78&gt;=AJ78,INT($F78/5)+$A$1-SUM(AB78:AG78),INT($F78/5)+$A$1-(SUM(V78:AG78)-AI78))</f>
        <v>9</v>
      </c>
      <c r="AL78" s="64"/>
      <c r="AM78" s="128"/>
      <c r="AN78" s="128"/>
      <c r="AO78" s="128"/>
      <c r="AP78" s="128"/>
      <c r="AQ78" s="128"/>
      <c r="AR78" s="128"/>
      <c r="AS78" s="128"/>
      <c r="AT78" s="128"/>
      <c r="AU78" s="128"/>
      <c r="AV78" s="128"/>
      <c r="AW78" s="128"/>
      <c r="AX78" s="128"/>
      <c r="AY78" s="83">
        <f t="shared" si="28"/>
        <v>0</v>
      </c>
      <c r="AZ78" s="18">
        <f t="shared" ca="1" si="0"/>
        <v>21</v>
      </c>
    </row>
    <row r="79" spans="2:52">
      <c r="B79" s="25" t="s">
        <v>113</v>
      </c>
      <c r="C79" s="48">
        <v>42388</v>
      </c>
      <c r="D79" s="152"/>
      <c r="E79" s="99">
        <v>42614</v>
      </c>
      <c r="F79" s="67">
        <f t="shared" ca="1" si="29"/>
        <v>2</v>
      </c>
      <c r="G79" s="67">
        <f t="shared" ca="1" si="30"/>
        <v>8</v>
      </c>
      <c r="H79" s="67">
        <f t="shared" ca="1" si="31"/>
        <v>4</v>
      </c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63"/>
      <c r="V79" s="50"/>
      <c r="W79" s="50"/>
      <c r="X79" s="50"/>
      <c r="Y79" s="50"/>
      <c r="Z79" s="50"/>
      <c r="AA79" s="50"/>
      <c r="AB79" s="50"/>
      <c r="AC79" s="50"/>
      <c r="AD79" s="62"/>
      <c r="AE79" s="50"/>
      <c r="AF79" s="50"/>
      <c r="AG79" s="50"/>
      <c r="AH79" s="83">
        <f t="shared" si="32"/>
        <v>0</v>
      </c>
      <c r="AI79" s="50"/>
      <c r="AJ79" s="50">
        <f t="shared" si="33"/>
        <v>0</v>
      </c>
      <c r="AK79" s="50">
        <f ca="1">IF(AI79&gt;=AJ79,INT($F79/5)+9-SUM(AB79:AG79),INT($F79/5)+9-(SUM(V79:AG79)-AI79))</f>
        <v>9</v>
      </c>
      <c r="AL79" s="64"/>
      <c r="AM79" s="128">
        <v>1</v>
      </c>
      <c r="AN79" s="128"/>
      <c r="AO79" s="128"/>
      <c r="AP79" s="128"/>
      <c r="AQ79" s="128">
        <v>1</v>
      </c>
      <c r="AR79" s="128"/>
      <c r="AS79" s="128"/>
      <c r="AT79" s="128"/>
      <c r="AU79" s="128">
        <v>2</v>
      </c>
      <c r="AV79" s="128"/>
      <c r="AW79" s="128">
        <v>3</v>
      </c>
      <c r="AX79" s="128"/>
      <c r="AY79" s="83">
        <f t="shared" si="28"/>
        <v>7</v>
      </c>
      <c r="AZ79" s="18">
        <f t="shared" ca="1" si="0"/>
        <v>14</v>
      </c>
    </row>
    <row r="80" spans="2:52">
      <c r="B80" s="25" t="s">
        <v>133</v>
      </c>
      <c r="C80" s="48">
        <v>42495</v>
      </c>
      <c r="D80" s="152"/>
      <c r="E80" s="99"/>
      <c r="F80" s="67">
        <f t="shared" ca="1" si="29"/>
        <v>2</v>
      </c>
      <c r="G80" s="67">
        <f ca="1">DATEDIF(C80,TODAY(),"YM")</f>
        <v>4</v>
      </c>
      <c r="H80" s="67">
        <f ca="1">DATEDIF(C80,TODAY(),"MD")</f>
        <v>18</v>
      </c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63"/>
      <c r="V80" s="50"/>
      <c r="W80" s="50"/>
      <c r="X80" s="50"/>
      <c r="Y80" s="50"/>
      <c r="Z80" s="50"/>
      <c r="AA80" s="50"/>
      <c r="AB80" s="50"/>
      <c r="AC80" s="50"/>
      <c r="AD80" s="62"/>
      <c r="AE80" s="50"/>
      <c r="AF80" s="50"/>
      <c r="AG80" s="50"/>
      <c r="AH80" s="83">
        <f t="shared" si="32"/>
        <v>0</v>
      </c>
      <c r="AI80" s="50"/>
      <c r="AJ80" s="50">
        <f>SUM(V80:AA80)</f>
        <v>0</v>
      </c>
      <c r="AK80" s="50">
        <f ca="1">IF(AI80&gt;=AJ80,INT($F80/5)+6-SUM(AB80:AG80),INT($F80/5)+6-(SUM(V80:AG80)-AI80))</f>
        <v>6</v>
      </c>
      <c r="AL80" s="64"/>
      <c r="AM80" s="128"/>
      <c r="AN80" s="128"/>
      <c r="AO80" s="128">
        <v>1</v>
      </c>
      <c r="AP80" s="128"/>
      <c r="AQ80" s="128"/>
      <c r="AR80" s="128"/>
      <c r="AS80" s="128"/>
      <c r="AT80" s="128"/>
      <c r="AU80" s="128"/>
      <c r="AV80" s="128"/>
      <c r="AW80" s="128"/>
      <c r="AX80" s="128"/>
      <c r="AY80" s="83">
        <f t="shared" si="28"/>
        <v>1</v>
      </c>
      <c r="AZ80" s="18">
        <f t="shared" ref="AZ80:AZ121" ca="1" si="34">12-AY80+AK80</f>
        <v>17</v>
      </c>
    </row>
    <row r="81" spans="2:52">
      <c r="B81" s="25" t="s">
        <v>134</v>
      </c>
      <c r="C81" s="48">
        <v>42492</v>
      </c>
      <c r="D81" s="152"/>
      <c r="E81" s="99"/>
      <c r="F81" s="67">
        <f t="shared" ca="1" si="29"/>
        <v>2</v>
      </c>
      <c r="G81" s="67">
        <f ca="1">DATEDIF(C81,TODAY(),"YM")</f>
        <v>4</v>
      </c>
      <c r="H81" s="67">
        <f ca="1">DATEDIF(C81,TODAY(),"MD")</f>
        <v>21</v>
      </c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63"/>
      <c r="V81" s="50"/>
      <c r="W81" s="50"/>
      <c r="X81" s="50"/>
      <c r="Y81" s="50"/>
      <c r="Z81" s="50"/>
      <c r="AA81" s="50"/>
      <c r="AB81" s="50"/>
      <c r="AC81" s="50"/>
      <c r="AD81" s="62"/>
      <c r="AE81" s="50">
        <v>4</v>
      </c>
      <c r="AF81" s="50"/>
      <c r="AG81" s="50"/>
      <c r="AH81" s="83">
        <f t="shared" si="32"/>
        <v>4</v>
      </c>
      <c r="AI81" s="50"/>
      <c r="AJ81" s="50">
        <f>SUM(V81:AA81)</f>
        <v>0</v>
      </c>
      <c r="AK81" s="50">
        <f ca="1">IF(AI81&gt;=AJ81,INT($F81/5)+6-SUM(AB81:AG81),INT($F81/5)+6-(SUM(V81:AG81)-AI81))</f>
        <v>2</v>
      </c>
      <c r="AL81" s="64"/>
      <c r="AM81" s="128">
        <v>1</v>
      </c>
      <c r="AN81" s="128"/>
      <c r="AO81" s="128"/>
      <c r="AP81" s="128"/>
      <c r="AQ81" s="128"/>
      <c r="AR81" s="128"/>
      <c r="AS81" s="128">
        <v>4</v>
      </c>
      <c r="AT81" s="128"/>
      <c r="AU81" s="128"/>
      <c r="AV81" s="128">
        <v>3</v>
      </c>
      <c r="AW81" s="128"/>
      <c r="AX81" s="128"/>
      <c r="AY81" s="83">
        <f t="shared" si="28"/>
        <v>8</v>
      </c>
      <c r="AZ81" s="18">
        <f t="shared" ca="1" si="34"/>
        <v>6</v>
      </c>
    </row>
    <row r="82" spans="2:52">
      <c r="B82" s="25" t="s">
        <v>165</v>
      </c>
      <c r="C82" s="48">
        <v>42639</v>
      </c>
      <c r="D82" s="152"/>
      <c r="E82" s="99"/>
      <c r="F82" s="67">
        <f t="shared" ca="1" si="29"/>
        <v>1</v>
      </c>
      <c r="G82" s="67">
        <f ca="1">DATEDIF(C82,TODAY(),"YM")</f>
        <v>11</v>
      </c>
      <c r="H82" s="67">
        <f ca="1">DATEDIF(C82,TODAY(),"MD")</f>
        <v>28</v>
      </c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63"/>
      <c r="V82" s="50"/>
      <c r="W82" s="50"/>
      <c r="X82" s="50"/>
      <c r="Y82" s="50"/>
      <c r="Z82" s="50"/>
      <c r="AA82" s="50"/>
      <c r="AB82" s="50"/>
      <c r="AC82" s="50"/>
      <c r="AD82" s="62"/>
      <c r="AE82" s="50"/>
      <c r="AF82" s="50"/>
      <c r="AG82" s="50">
        <v>1</v>
      </c>
      <c r="AH82" s="83">
        <f t="shared" si="32"/>
        <v>1</v>
      </c>
      <c r="AI82" s="50"/>
      <c r="AJ82" s="50">
        <f>SUM(V82:AA82)</f>
        <v>0</v>
      </c>
      <c r="AK82" s="50">
        <f ca="1">IF(AI82&gt;=AJ82,INT($F82/5)+1-SUM(AB82:AG82),INT($F82/5)+1-(SUM(V82:AG82)-AI82))</f>
        <v>0</v>
      </c>
      <c r="AL82" s="64"/>
      <c r="AM82" s="128">
        <v>2</v>
      </c>
      <c r="AN82" s="128"/>
      <c r="AO82" s="128"/>
      <c r="AP82" s="128"/>
      <c r="AQ82" s="128"/>
      <c r="AR82" s="128"/>
      <c r="AS82" s="128"/>
      <c r="AT82" s="128">
        <v>6</v>
      </c>
      <c r="AU82" s="128"/>
      <c r="AV82" s="128"/>
      <c r="AW82" s="128"/>
      <c r="AX82" s="128"/>
      <c r="AY82" s="83">
        <f t="shared" si="28"/>
        <v>8</v>
      </c>
      <c r="AZ82" s="18">
        <f t="shared" ca="1" si="34"/>
        <v>4</v>
      </c>
    </row>
    <row r="83" spans="2:52">
      <c r="B83" s="25" t="s">
        <v>193</v>
      </c>
      <c r="C83" s="48">
        <v>42786</v>
      </c>
      <c r="D83" s="152"/>
      <c r="E83" s="99"/>
      <c r="F83" s="67"/>
      <c r="G83" s="67"/>
      <c r="H83" s="67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63"/>
      <c r="V83" s="50"/>
      <c r="W83" s="50"/>
      <c r="X83" s="50"/>
      <c r="Y83" s="50"/>
      <c r="Z83" s="50"/>
      <c r="AA83" s="50"/>
      <c r="AB83" s="50"/>
      <c r="AC83" s="50"/>
      <c r="AD83" s="62"/>
      <c r="AE83" s="50"/>
      <c r="AF83" s="50"/>
      <c r="AG83" s="50"/>
      <c r="AH83" s="83"/>
      <c r="AI83" s="50"/>
      <c r="AJ83" s="50"/>
      <c r="AK83" s="50"/>
      <c r="AL83" s="64"/>
      <c r="AM83" s="128"/>
      <c r="AN83" s="128"/>
      <c r="AO83" s="128"/>
      <c r="AP83" s="128"/>
      <c r="AQ83" s="128"/>
      <c r="AR83" s="128"/>
      <c r="AS83" s="128"/>
      <c r="AT83" s="128"/>
      <c r="AU83" s="128"/>
      <c r="AV83" s="128"/>
      <c r="AW83" s="128"/>
      <c r="AX83" s="128"/>
      <c r="AY83" s="83">
        <f t="shared" si="28"/>
        <v>0</v>
      </c>
      <c r="AZ83" s="18">
        <f t="shared" si="34"/>
        <v>12</v>
      </c>
    </row>
    <row r="84" spans="2:52">
      <c r="B84" s="25" t="s">
        <v>201</v>
      </c>
      <c r="C84" s="48">
        <v>42842</v>
      </c>
      <c r="D84" s="152"/>
      <c r="E84" s="99"/>
      <c r="F84" s="67"/>
      <c r="G84" s="67"/>
      <c r="H84" s="67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63"/>
      <c r="V84" s="50"/>
      <c r="W84" s="50"/>
      <c r="X84" s="50"/>
      <c r="Y84" s="50"/>
      <c r="Z84" s="50"/>
      <c r="AA84" s="50"/>
      <c r="AB84" s="50"/>
      <c r="AC84" s="50"/>
      <c r="AD84" s="62"/>
      <c r="AE84" s="50"/>
      <c r="AF84" s="50"/>
      <c r="AG84" s="50"/>
      <c r="AH84" s="83"/>
      <c r="AI84" s="50"/>
      <c r="AJ84" s="50"/>
      <c r="AK84" s="50"/>
      <c r="AL84" s="64"/>
      <c r="AM84" s="128"/>
      <c r="AN84" s="128"/>
      <c r="AO84" s="128"/>
      <c r="AP84" s="128"/>
      <c r="AQ84" s="128"/>
      <c r="AR84" s="128"/>
      <c r="AS84" s="128">
        <v>1</v>
      </c>
      <c r="AT84" s="128">
        <v>3</v>
      </c>
      <c r="AU84" s="128"/>
      <c r="AV84" s="128">
        <v>2</v>
      </c>
      <c r="AW84" s="128"/>
      <c r="AX84" s="128"/>
      <c r="AY84" s="83">
        <f t="shared" si="28"/>
        <v>6</v>
      </c>
      <c r="AZ84" s="18">
        <f t="shared" si="34"/>
        <v>6</v>
      </c>
    </row>
    <row r="85" spans="2:52">
      <c r="B85" s="54" t="s">
        <v>155</v>
      </c>
      <c r="C85" s="55"/>
      <c r="D85" s="55"/>
      <c r="E85" s="98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7"/>
      <c r="V85" s="55"/>
      <c r="W85" s="55"/>
      <c r="X85" s="55"/>
      <c r="Y85" s="55"/>
      <c r="Z85" s="55"/>
      <c r="AA85" s="55"/>
      <c r="AB85" s="55"/>
      <c r="AC85" s="55"/>
      <c r="AD85" s="115"/>
      <c r="AE85" s="55"/>
      <c r="AF85" s="55"/>
      <c r="AG85" s="55"/>
      <c r="AH85" s="87"/>
      <c r="AI85" s="55"/>
      <c r="AJ85" s="55"/>
      <c r="AK85" s="55"/>
      <c r="AL85" s="139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83">
        <f t="shared" si="28"/>
        <v>0</v>
      </c>
      <c r="AZ85" s="18">
        <f t="shared" si="34"/>
        <v>12</v>
      </c>
    </row>
    <row r="86" spans="2:52">
      <c r="B86" s="25" t="s">
        <v>53</v>
      </c>
      <c r="C86" s="48">
        <v>41518</v>
      </c>
      <c r="D86" s="152"/>
      <c r="E86" s="99" t="s">
        <v>189</v>
      </c>
      <c r="F86" s="67">
        <f t="shared" ref="F86:F95" ca="1" si="35">DATEDIF(C86,TODAY(),"Y")</f>
        <v>5</v>
      </c>
      <c r="G86" s="67">
        <f t="shared" ref="G86:G95" ca="1" si="36">DATEDIF(C86,TODAY(),"YM")</f>
        <v>0</v>
      </c>
      <c r="H86" s="67">
        <f t="shared" ref="H86:H95" ca="1" si="37">DATEDIF(C86,TODAY(),"MD")</f>
        <v>22</v>
      </c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63"/>
      <c r="V86" s="50"/>
      <c r="W86" s="50">
        <v>4</v>
      </c>
      <c r="X86" s="50"/>
      <c r="Y86" s="50">
        <v>1</v>
      </c>
      <c r="Z86" s="50"/>
      <c r="AA86" s="50"/>
      <c r="AB86" s="50"/>
      <c r="AC86" s="50"/>
      <c r="AD86" s="62">
        <v>1</v>
      </c>
      <c r="AE86" s="50"/>
      <c r="AF86" s="50"/>
      <c r="AG86" s="50"/>
      <c r="AH86" s="83">
        <f t="shared" ref="AH86:AH95" si="38">SUM(V86:AG86)</f>
        <v>6</v>
      </c>
      <c r="AI86" s="50"/>
      <c r="AJ86" s="50">
        <f t="shared" ref="AJ86:AJ95" si="39">SUM(V86:AA86)</f>
        <v>5</v>
      </c>
      <c r="AK86" s="50">
        <f ca="1">IF(AI86&gt;=AJ86,INT($F86/5)+$A$1-SUM(AB86:AG86),INT($F86/5)+$A$1-(SUM(V86:AG86)-AI86))</f>
        <v>7</v>
      </c>
      <c r="AL86" s="64"/>
      <c r="AM86" s="128"/>
      <c r="AN86" s="128"/>
      <c r="AO86" s="128"/>
      <c r="AP86" s="128"/>
      <c r="AQ86" s="128"/>
      <c r="AR86" s="128"/>
      <c r="AS86" s="128"/>
      <c r="AT86" s="128"/>
      <c r="AU86" s="128"/>
      <c r="AV86" s="128"/>
      <c r="AW86" s="128"/>
      <c r="AX86" s="128"/>
      <c r="AY86" s="83">
        <f t="shared" si="28"/>
        <v>0</v>
      </c>
      <c r="AZ86" s="18">
        <f t="shared" ca="1" si="34"/>
        <v>19</v>
      </c>
    </row>
    <row r="87" spans="2:52">
      <c r="B87" s="25" t="s">
        <v>39</v>
      </c>
      <c r="C87" s="48">
        <v>41842</v>
      </c>
      <c r="D87" s="152"/>
      <c r="E87" s="99" t="s">
        <v>190</v>
      </c>
      <c r="F87" s="67">
        <f t="shared" ca="1" si="35"/>
        <v>4</v>
      </c>
      <c r="G87" s="67">
        <f t="shared" ca="1" si="36"/>
        <v>2</v>
      </c>
      <c r="H87" s="67">
        <f t="shared" ca="1" si="37"/>
        <v>1</v>
      </c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63"/>
      <c r="V87" s="50">
        <v>1</v>
      </c>
      <c r="W87" s="50">
        <v>2</v>
      </c>
      <c r="X87" s="50">
        <v>1</v>
      </c>
      <c r="Y87" s="50"/>
      <c r="Z87" s="50"/>
      <c r="AA87" s="50">
        <v>1</v>
      </c>
      <c r="AB87" s="50">
        <v>1</v>
      </c>
      <c r="AC87" s="50">
        <v>1</v>
      </c>
      <c r="AD87" s="62"/>
      <c r="AE87" s="50">
        <v>3</v>
      </c>
      <c r="AF87" s="50"/>
      <c r="AG87" s="50">
        <v>1</v>
      </c>
      <c r="AH87" s="83">
        <f t="shared" si="38"/>
        <v>11</v>
      </c>
      <c r="AI87" s="50"/>
      <c r="AJ87" s="50">
        <f t="shared" si="39"/>
        <v>5</v>
      </c>
      <c r="AK87" s="50">
        <f ca="1">IF(AI87&gt;=AJ87,INT($F87/5)+$A$1-SUM(AB87:AG87),INT($F87/5)+$A$1-(SUM(V87:AG87)-AI87))</f>
        <v>1</v>
      </c>
      <c r="AL87" s="64"/>
      <c r="AM87" s="128">
        <v>3</v>
      </c>
      <c r="AN87" s="128"/>
      <c r="AO87" s="128">
        <v>1</v>
      </c>
      <c r="AP87" s="128"/>
      <c r="AQ87" s="128"/>
      <c r="AR87" s="128"/>
      <c r="AS87" s="128"/>
      <c r="AT87" s="128"/>
      <c r="AU87" s="128"/>
      <c r="AV87" s="128">
        <v>9</v>
      </c>
      <c r="AW87" s="128"/>
      <c r="AX87" s="128"/>
      <c r="AY87" s="163">
        <f t="shared" si="28"/>
        <v>13</v>
      </c>
      <c r="AZ87" s="18">
        <f t="shared" ca="1" si="34"/>
        <v>0</v>
      </c>
    </row>
    <row r="88" spans="2:52">
      <c r="B88" s="25" t="s">
        <v>49</v>
      </c>
      <c r="C88" s="48">
        <v>41974</v>
      </c>
      <c r="D88" s="152"/>
      <c r="E88" s="99" t="s">
        <v>190</v>
      </c>
      <c r="F88" s="67">
        <f t="shared" ca="1" si="35"/>
        <v>3</v>
      </c>
      <c r="G88" s="67">
        <f t="shared" ca="1" si="36"/>
        <v>9</v>
      </c>
      <c r="H88" s="67">
        <f t="shared" ca="1" si="37"/>
        <v>22</v>
      </c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63"/>
      <c r="V88" s="50"/>
      <c r="W88" s="50">
        <v>1</v>
      </c>
      <c r="X88" s="50">
        <v>1</v>
      </c>
      <c r="Y88" s="50">
        <v>1</v>
      </c>
      <c r="Z88" s="50">
        <v>1</v>
      </c>
      <c r="AA88" s="50">
        <v>1</v>
      </c>
      <c r="AB88" s="50">
        <v>1</v>
      </c>
      <c r="AC88" s="50"/>
      <c r="AD88" s="62">
        <v>1</v>
      </c>
      <c r="AE88" s="50"/>
      <c r="AF88" s="50">
        <v>5</v>
      </c>
      <c r="AG88" s="50"/>
      <c r="AH88" s="83">
        <f t="shared" si="38"/>
        <v>12</v>
      </c>
      <c r="AI88" s="50"/>
      <c r="AJ88" s="50">
        <f t="shared" si="39"/>
        <v>5</v>
      </c>
      <c r="AK88" s="50">
        <f ca="1">IF(AI88&gt;=AJ88,INT($F88/5)+$A$1-SUM(AB88:AG88),INT($F88/5)+$A$1-(SUM(V88:AG88)-AI88))</f>
        <v>0</v>
      </c>
      <c r="AL88" s="64"/>
      <c r="AM88" s="128"/>
      <c r="AN88" s="128"/>
      <c r="AO88" s="128"/>
      <c r="AP88" s="128">
        <v>2</v>
      </c>
      <c r="AQ88" s="128">
        <v>1</v>
      </c>
      <c r="AR88" s="128"/>
      <c r="AS88" s="128"/>
      <c r="AT88" s="128"/>
      <c r="AU88" s="128"/>
      <c r="AV88" s="128"/>
      <c r="AW88" s="128"/>
      <c r="AX88" s="128"/>
      <c r="AY88" s="83">
        <f t="shared" si="28"/>
        <v>3</v>
      </c>
      <c r="AZ88" s="18">
        <f t="shared" ca="1" si="34"/>
        <v>9</v>
      </c>
    </row>
    <row r="89" spans="2:52">
      <c r="B89" s="25" t="s">
        <v>50</v>
      </c>
      <c r="C89" s="48">
        <v>41974</v>
      </c>
      <c r="D89" s="152"/>
      <c r="E89" s="99" t="s">
        <v>190</v>
      </c>
      <c r="F89" s="67">
        <f t="shared" ca="1" si="35"/>
        <v>3</v>
      </c>
      <c r="G89" s="67">
        <f t="shared" ca="1" si="36"/>
        <v>9</v>
      </c>
      <c r="H89" s="67">
        <f t="shared" ca="1" si="37"/>
        <v>22</v>
      </c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63"/>
      <c r="V89" s="50"/>
      <c r="W89" s="50">
        <v>1</v>
      </c>
      <c r="X89" s="50">
        <v>1</v>
      </c>
      <c r="Y89" s="50">
        <v>1</v>
      </c>
      <c r="Z89" s="50"/>
      <c r="AA89" s="50"/>
      <c r="AB89" s="50"/>
      <c r="AC89" s="50">
        <v>2</v>
      </c>
      <c r="AD89" s="62">
        <v>1</v>
      </c>
      <c r="AE89" s="50">
        <v>1</v>
      </c>
      <c r="AF89" s="50">
        <v>5</v>
      </c>
      <c r="AG89" s="50"/>
      <c r="AH89" s="83">
        <f t="shared" si="38"/>
        <v>12</v>
      </c>
      <c r="AI89" s="50"/>
      <c r="AJ89" s="50">
        <f t="shared" si="39"/>
        <v>3</v>
      </c>
      <c r="AK89" s="50">
        <f ca="1">IF(AI89&gt;=AJ89,INT($F89/5)+$A$1-SUM(AB89:AG89),INT($F89/5)+$A$1-(SUM(V89:AG89)-AI89))</f>
        <v>0</v>
      </c>
      <c r="AL89" s="64"/>
      <c r="AM89" s="128">
        <v>1</v>
      </c>
      <c r="AN89" s="128">
        <v>2</v>
      </c>
      <c r="AO89" s="128"/>
      <c r="AP89" s="128">
        <v>1</v>
      </c>
      <c r="AQ89" s="128"/>
      <c r="AR89" s="128"/>
      <c r="AS89" s="128"/>
      <c r="AT89" s="128"/>
      <c r="AU89" s="128"/>
      <c r="AV89" s="128"/>
      <c r="AW89" s="128"/>
      <c r="AX89" s="128"/>
      <c r="AY89" s="83">
        <f t="shared" si="28"/>
        <v>4</v>
      </c>
      <c r="AZ89" s="18">
        <f t="shared" ca="1" si="34"/>
        <v>8</v>
      </c>
    </row>
    <row r="90" spans="2:52">
      <c r="B90" s="25" t="s">
        <v>94</v>
      </c>
      <c r="C90" s="48">
        <v>42171</v>
      </c>
      <c r="D90" s="152"/>
      <c r="E90" s="99">
        <v>42614</v>
      </c>
      <c r="F90" s="67">
        <f t="shared" ca="1" si="35"/>
        <v>3</v>
      </c>
      <c r="G90" s="67">
        <f t="shared" ca="1" si="36"/>
        <v>3</v>
      </c>
      <c r="H90" s="67">
        <f t="shared" ca="1" si="37"/>
        <v>7</v>
      </c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63"/>
      <c r="V90" s="50"/>
      <c r="W90" s="50"/>
      <c r="X90" s="50"/>
      <c r="Y90" s="50"/>
      <c r="Z90" s="50"/>
      <c r="AA90" s="50">
        <v>1</v>
      </c>
      <c r="AB90" s="50"/>
      <c r="AC90" s="50"/>
      <c r="AD90" s="62"/>
      <c r="AE90" s="50"/>
      <c r="AF90" s="50"/>
      <c r="AG90" s="50"/>
      <c r="AH90" s="83">
        <f t="shared" si="38"/>
        <v>1</v>
      </c>
      <c r="AI90" s="50"/>
      <c r="AJ90" s="50">
        <f t="shared" si="39"/>
        <v>1</v>
      </c>
      <c r="AK90" s="50">
        <f ca="1">IF(AI90&gt;=AJ90,INT($F90/5)+$A$1-SUM(AB90:AG90),INT($F90/5)+$A$1-(SUM(V90:AG90)-AI90))</f>
        <v>11</v>
      </c>
      <c r="AL90" s="64"/>
      <c r="AM90" s="128">
        <v>1</v>
      </c>
      <c r="AN90" s="128">
        <v>1</v>
      </c>
      <c r="AO90" s="128">
        <v>2</v>
      </c>
      <c r="AP90" s="128">
        <v>1</v>
      </c>
      <c r="AQ90" s="128">
        <v>1</v>
      </c>
      <c r="AR90" s="128"/>
      <c r="AS90" s="128">
        <v>1</v>
      </c>
      <c r="AT90" s="128">
        <v>3</v>
      </c>
      <c r="AU90" s="128">
        <v>8</v>
      </c>
      <c r="AV90" s="128">
        <v>1</v>
      </c>
      <c r="AW90" s="128"/>
      <c r="AX90" s="128"/>
      <c r="AY90" s="83">
        <f t="shared" si="28"/>
        <v>19</v>
      </c>
      <c r="AZ90" s="18">
        <f t="shared" ca="1" si="34"/>
        <v>4</v>
      </c>
    </row>
    <row r="91" spans="2:52">
      <c r="B91" s="25" t="s">
        <v>128</v>
      </c>
      <c r="C91" s="48">
        <v>42461</v>
      </c>
      <c r="D91" s="152"/>
      <c r="E91" s="99"/>
      <c r="F91" s="67">
        <f t="shared" ca="1" si="35"/>
        <v>2</v>
      </c>
      <c r="G91" s="67">
        <f t="shared" ca="1" si="36"/>
        <v>5</v>
      </c>
      <c r="H91" s="67">
        <f t="shared" ca="1" si="37"/>
        <v>22</v>
      </c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63"/>
      <c r="V91" s="50"/>
      <c r="W91" s="50"/>
      <c r="X91" s="50"/>
      <c r="Y91" s="50"/>
      <c r="Z91" s="50"/>
      <c r="AA91" s="50"/>
      <c r="AB91" s="50"/>
      <c r="AC91" s="50">
        <v>1</v>
      </c>
      <c r="AD91" s="62"/>
      <c r="AE91" s="50"/>
      <c r="AF91" s="50">
        <v>1</v>
      </c>
      <c r="AG91" s="50"/>
      <c r="AH91" s="83">
        <f t="shared" si="38"/>
        <v>2</v>
      </c>
      <c r="AI91" s="50"/>
      <c r="AJ91" s="50">
        <f t="shared" si="39"/>
        <v>0</v>
      </c>
      <c r="AK91" s="50">
        <f ca="1">IF(AI91&gt;=AJ91,INT($F91/5)+7-SUM(AB91:AG91),INT($F91/5)+7-(SUM(V91:AG91)-AI91))</f>
        <v>5</v>
      </c>
      <c r="AL91" s="64"/>
      <c r="AM91" s="128">
        <v>2</v>
      </c>
      <c r="AN91" s="128"/>
      <c r="AO91" s="128">
        <v>2</v>
      </c>
      <c r="AP91" s="128"/>
      <c r="AQ91" s="128">
        <v>2</v>
      </c>
      <c r="AR91" s="128">
        <v>6</v>
      </c>
      <c r="AS91" s="128">
        <v>1</v>
      </c>
      <c r="AT91" s="128">
        <v>0</v>
      </c>
      <c r="AU91" s="128">
        <v>2</v>
      </c>
      <c r="AV91" s="128"/>
      <c r="AW91" s="128"/>
      <c r="AX91" s="128"/>
      <c r="AY91" s="83">
        <f t="shared" si="28"/>
        <v>15</v>
      </c>
      <c r="AZ91" s="18">
        <f t="shared" ca="1" si="34"/>
        <v>2</v>
      </c>
    </row>
    <row r="92" spans="2:52">
      <c r="B92" s="25" t="s">
        <v>119</v>
      </c>
      <c r="C92" s="48">
        <v>42461</v>
      </c>
      <c r="D92" s="152"/>
      <c r="E92" s="99"/>
      <c r="F92" s="67">
        <f t="shared" ca="1" si="35"/>
        <v>2</v>
      </c>
      <c r="G92" s="67">
        <f t="shared" ca="1" si="36"/>
        <v>5</v>
      </c>
      <c r="H92" s="67">
        <f t="shared" ca="1" si="37"/>
        <v>22</v>
      </c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63"/>
      <c r="V92" s="50"/>
      <c r="W92" s="50"/>
      <c r="X92" s="50"/>
      <c r="Y92" s="50"/>
      <c r="Z92" s="50"/>
      <c r="AA92" s="126"/>
      <c r="AB92" s="50"/>
      <c r="AC92" s="50">
        <v>1</v>
      </c>
      <c r="AD92" s="62">
        <v>1</v>
      </c>
      <c r="AE92" s="50">
        <v>2</v>
      </c>
      <c r="AF92" s="50">
        <v>2</v>
      </c>
      <c r="AG92" s="50">
        <v>1</v>
      </c>
      <c r="AH92" s="83">
        <f t="shared" si="38"/>
        <v>7</v>
      </c>
      <c r="AI92" s="50"/>
      <c r="AJ92" s="50">
        <f t="shared" si="39"/>
        <v>0</v>
      </c>
      <c r="AK92" s="50">
        <f ca="1">IF(AI92&gt;=AJ92,INT($F92/5)+7-SUM(AB92:AG92),INT($F92/5)+7-(SUM(V92:AG92)-AI92))</f>
        <v>0</v>
      </c>
      <c r="AL92" s="64"/>
      <c r="AM92" s="128">
        <v>1</v>
      </c>
      <c r="AN92" s="128">
        <v>1</v>
      </c>
      <c r="AO92" s="128"/>
      <c r="AP92" s="128"/>
      <c r="AQ92" s="128"/>
      <c r="AR92" s="128"/>
      <c r="AS92" s="128">
        <v>1</v>
      </c>
      <c r="AT92" s="128"/>
      <c r="AU92" s="128"/>
      <c r="AV92" s="128"/>
      <c r="AW92" s="128"/>
      <c r="AX92" s="128"/>
      <c r="AY92" s="83">
        <f t="shared" si="28"/>
        <v>3</v>
      </c>
      <c r="AZ92" s="18">
        <f t="shared" ca="1" si="34"/>
        <v>9</v>
      </c>
    </row>
    <row r="93" spans="2:52">
      <c r="B93" s="25" t="s">
        <v>118</v>
      </c>
      <c r="C93" s="48">
        <v>42450</v>
      </c>
      <c r="D93" s="152"/>
      <c r="E93" s="99"/>
      <c r="F93" s="67">
        <f t="shared" ca="1" si="35"/>
        <v>2</v>
      </c>
      <c r="G93" s="67">
        <f t="shared" ca="1" si="36"/>
        <v>6</v>
      </c>
      <c r="H93" s="67">
        <f t="shared" ca="1" si="37"/>
        <v>2</v>
      </c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63"/>
      <c r="V93" s="50"/>
      <c r="W93" s="50"/>
      <c r="X93" s="50"/>
      <c r="Y93" s="50"/>
      <c r="Z93" s="50"/>
      <c r="AA93" s="50"/>
      <c r="AB93" s="50"/>
      <c r="AC93" s="50"/>
      <c r="AD93" s="62"/>
      <c r="AE93" s="50"/>
      <c r="AF93" s="50"/>
      <c r="AG93" s="50"/>
      <c r="AH93" s="83">
        <f t="shared" si="38"/>
        <v>0</v>
      </c>
      <c r="AI93" s="50"/>
      <c r="AJ93" s="50">
        <f t="shared" si="39"/>
        <v>0</v>
      </c>
      <c r="AK93" s="50">
        <f ca="1">IF(AI93&gt;=AJ93,INT($F93/5)+7-SUM(AB93:AG93),INT($F93/5)+7-(SUM(V93:AG93)-AI93))</f>
        <v>7</v>
      </c>
      <c r="AL93" s="64"/>
      <c r="AM93" s="128"/>
      <c r="AN93" s="128"/>
      <c r="AO93" s="128">
        <v>4</v>
      </c>
      <c r="AP93" s="128"/>
      <c r="AQ93" s="128"/>
      <c r="AR93" s="128"/>
      <c r="AS93" s="128"/>
      <c r="AT93" s="128"/>
      <c r="AU93" s="128"/>
      <c r="AV93" s="128"/>
      <c r="AW93" s="128"/>
      <c r="AX93" s="128"/>
      <c r="AY93" s="83">
        <f t="shared" si="28"/>
        <v>4</v>
      </c>
      <c r="AZ93" s="18">
        <f t="shared" ca="1" si="34"/>
        <v>15</v>
      </c>
    </row>
    <row r="94" spans="2:52">
      <c r="B94" s="25" t="s">
        <v>129</v>
      </c>
      <c r="C94" s="48">
        <v>42492</v>
      </c>
      <c r="D94" s="152"/>
      <c r="E94" s="99"/>
      <c r="F94" s="67">
        <f t="shared" ca="1" si="35"/>
        <v>2</v>
      </c>
      <c r="G94" s="67">
        <f t="shared" ca="1" si="36"/>
        <v>4</v>
      </c>
      <c r="H94" s="67">
        <f t="shared" ca="1" si="37"/>
        <v>21</v>
      </c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63"/>
      <c r="V94" s="50"/>
      <c r="W94" s="50"/>
      <c r="X94" s="50"/>
      <c r="Y94" s="50"/>
      <c r="Z94" s="50"/>
      <c r="AA94" s="50"/>
      <c r="AB94" s="126"/>
      <c r="AC94" s="50"/>
      <c r="AD94" s="62">
        <v>1</v>
      </c>
      <c r="AE94" s="50">
        <v>2</v>
      </c>
      <c r="AF94" s="50"/>
      <c r="AG94" s="50">
        <v>1</v>
      </c>
      <c r="AH94" s="83">
        <f t="shared" si="38"/>
        <v>4</v>
      </c>
      <c r="AI94" s="50"/>
      <c r="AJ94" s="50">
        <f t="shared" si="39"/>
        <v>0</v>
      </c>
      <c r="AK94" s="50">
        <f ca="1">IF(AI94&gt;=AJ94,INT($F94/5)+6-SUM(AB94:AG94),INT($F94/5)+6-(SUM(V94:AG94)-AI94))</f>
        <v>2</v>
      </c>
      <c r="AL94" s="64"/>
      <c r="AM94" s="128">
        <v>2</v>
      </c>
      <c r="AN94" s="128"/>
      <c r="AO94" s="128"/>
      <c r="AP94" s="128"/>
      <c r="AQ94" s="128">
        <v>1</v>
      </c>
      <c r="AR94" s="128"/>
      <c r="AS94" s="128">
        <v>4</v>
      </c>
      <c r="AT94" s="128"/>
      <c r="AU94" s="128">
        <v>1</v>
      </c>
      <c r="AV94" s="128"/>
      <c r="AW94" s="128">
        <v>2</v>
      </c>
      <c r="AX94" s="128"/>
      <c r="AY94" s="83">
        <f t="shared" si="28"/>
        <v>10</v>
      </c>
      <c r="AZ94" s="18">
        <f t="shared" ca="1" si="34"/>
        <v>4</v>
      </c>
    </row>
    <row r="95" spans="2:52">
      <c r="B95" s="25" t="s">
        <v>137</v>
      </c>
      <c r="C95" s="48">
        <v>42492</v>
      </c>
      <c r="D95" s="152"/>
      <c r="E95" s="99"/>
      <c r="F95" s="67">
        <f t="shared" ca="1" si="35"/>
        <v>2</v>
      </c>
      <c r="G95" s="67">
        <f t="shared" ca="1" si="36"/>
        <v>4</v>
      </c>
      <c r="H95" s="67">
        <f t="shared" ca="1" si="37"/>
        <v>21</v>
      </c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63"/>
      <c r="V95" s="50"/>
      <c r="W95" s="50"/>
      <c r="X95" s="50"/>
      <c r="Y95" s="50"/>
      <c r="Z95" s="50"/>
      <c r="AA95" s="50"/>
      <c r="AB95" s="50"/>
      <c r="AC95" s="50">
        <v>1</v>
      </c>
      <c r="AD95" s="62">
        <v>1</v>
      </c>
      <c r="AE95" s="50"/>
      <c r="AF95" s="50">
        <v>1</v>
      </c>
      <c r="AG95" s="50"/>
      <c r="AH95" s="83">
        <f t="shared" si="38"/>
        <v>3</v>
      </c>
      <c r="AI95" s="50"/>
      <c r="AJ95" s="50">
        <f t="shared" si="39"/>
        <v>0</v>
      </c>
      <c r="AK95" s="50">
        <f ca="1">IF(AI95&gt;=AJ95,INT($F95/5)+6-SUM(AB95:AG95),INT($F95/5)+6-(SUM(V95:AG95)-AI95))</f>
        <v>3</v>
      </c>
      <c r="AL95" s="64"/>
      <c r="AM95" s="128"/>
      <c r="AN95" s="128">
        <v>1</v>
      </c>
      <c r="AO95" s="128"/>
      <c r="AP95" s="128">
        <v>1</v>
      </c>
      <c r="AQ95" s="128">
        <v>2</v>
      </c>
      <c r="AR95" s="128"/>
      <c r="AS95" s="128"/>
      <c r="AT95" s="128">
        <v>1</v>
      </c>
      <c r="AU95" s="128">
        <v>1</v>
      </c>
      <c r="AV95" s="128">
        <v>8</v>
      </c>
      <c r="AW95" s="128">
        <v>1</v>
      </c>
      <c r="AX95" s="128"/>
      <c r="AY95" s="83">
        <f t="shared" si="28"/>
        <v>15</v>
      </c>
      <c r="AZ95" s="18">
        <f t="shared" ca="1" si="34"/>
        <v>0</v>
      </c>
    </row>
    <row r="96" spans="2:52">
      <c r="B96" s="25" t="s">
        <v>197</v>
      </c>
      <c r="C96" s="48">
        <v>42807</v>
      </c>
      <c r="D96" s="152"/>
      <c r="E96" s="99"/>
      <c r="F96" s="67"/>
      <c r="G96" s="67"/>
      <c r="H96" s="67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63"/>
      <c r="V96" s="50"/>
      <c r="W96" s="50"/>
      <c r="X96" s="50"/>
      <c r="Y96" s="50"/>
      <c r="Z96" s="50"/>
      <c r="AA96" s="50"/>
      <c r="AB96" s="50"/>
      <c r="AC96" s="50"/>
      <c r="AD96" s="62"/>
      <c r="AE96" s="50"/>
      <c r="AF96" s="50"/>
      <c r="AG96" s="50"/>
      <c r="AH96" s="83"/>
      <c r="AI96" s="50"/>
      <c r="AJ96" s="50"/>
      <c r="AK96" s="50"/>
      <c r="AL96" s="64"/>
      <c r="AM96" s="128"/>
      <c r="AN96" s="128"/>
      <c r="AO96" s="128"/>
      <c r="AP96" s="128"/>
      <c r="AQ96" s="128"/>
      <c r="AR96" s="128"/>
      <c r="AS96" s="128"/>
      <c r="AT96" s="128">
        <v>1</v>
      </c>
      <c r="AU96" s="128"/>
      <c r="AV96" s="128"/>
      <c r="AW96" s="128"/>
      <c r="AX96" s="128"/>
      <c r="AY96" s="83">
        <f t="shared" ref="AY96:AY101" si="40">SUM(AM96:AX96)</f>
        <v>1</v>
      </c>
      <c r="AZ96" s="18">
        <f t="shared" si="34"/>
        <v>11</v>
      </c>
    </row>
    <row r="97" spans="2:52">
      <c r="B97" s="25" t="s">
        <v>198</v>
      </c>
      <c r="C97" s="48">
        <v>42808</v>
      </c>
      <c r="D97" s="152"/>
      <c r="E97" s="99"/>
      <c r="F97" s="67"/>
      <c r="G97" s="67"/>
      <c r="H97" s="67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63"/>
      <c r="V97" s="50"/>
      <c r="W97" s="50"/>
      <c r="X97" s="50"/>
      <c r="Y97" s="50"/>
      <c r="Z97" s="50"/>
      <c r="AA97" s="50"/>
      <c r="AB97" s="50"/>
      <c r="AC97" s="50"/>
      <c r="AD97" s="62"/>
      <c r="AE97" s="50"/>
      <c r="AF97" s="50"/>
      <c r="AG97" s="50"/>
      <c r="AH97" s="83"/>
      <c r="AI97" s="50"/>
      <c r="AJ97" s="50"/>
      <c r="AK97" s="50"/>
      <c r="AL97" s="64"/>
      <c r="AM97" s="128"/>
      <c r="AN97" s="128"/>
      <c r="AO97" s="128"/>
      <c r="AP97" s="128"/>
      <c r="AQ97" s="128"/>
      <c r="AR97" s="128"/>
      <c r="AS97" s="128"/>
      <c r="AT97" s="128"/>
      <c r="AU97" s="128"/>
      <c r="AV97" s="128">
        <v>1</v>
      </c>
      <c r="AW97" s="128">
        <v>1</v>
      </c>
      <c r="AX97" s="128"/>
      <c r="AY97" s="83">
        <f t="shared" si="40"/>
        <v>2</v>
      </c>
      <c r="AZ97" s="18">
        <f t="shared" si="34"/>
        <v>10</v>
      </c>
    </row>
    <row r="98" spans="2:52">
      <c r="B98" s="25" t="s">
        <v>119</v>
      </c>
      <c r="C98" s="48">
        <v>42887</v>
      </c>
      <c r="D98" s="152"/>
      <c r="E98" s="99"/>
      <c r="F98" s="67"/>
      <c r="G98" s="67"/>
      <c r="H98" s="67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63"/>
      <c r="V98" s="50"/>
      <c r="W98" s="50"/>
      <c r="X98" s="50"/>
      <c r="Y98" s="50"/>
      <c r="Z98" s="50"/>
      <c r="AA98" s="50"/>
      <c r="AB98" s="50"/>
      <c r="AC98" s="50"/>
      <c r="AD98" s="62"/>
      <c r="AE98" s="50"/>
      <c r="AF98" s="50"/>
      <c r="AG98" s="50"/>
      <c r="AH98" s="83"/>
      <c r="AI98" s="50"/>
      <c r="AJ98" s="50"/>
      <c r="AK98" s="50"/>
      <c r="AL98" s="64"/>
      <c r="AM98" s="128"/>
      <c r="AN98" s="128"/>
      <c r="AO98" s="128"/>
      <c r="AP98" s="128"/>
      <c r="AQ98" s="128"/>
      <c r="AR98" s="128"/>
      <c r="AS98" s="128"/>
      <c r="AT98" s="128"/>
      <c r="AU98" s="128">
        <v>1</v>
      </c>
      <c r="AV98" s="128">
        <v>2</v>
      </c>
      <c r="AW98" s="128">
        <v>3</v>
      </c>
      <c r="AX98" s="128"/>
      <c r="AY98" s="83">
        <f t="shared" si="40"/>
        <v>6</v>
      </c>
      <c r="AZ98" s="18">
        <f t="shared" si="34"/>
        <v>6</v>
      </c>
    </row>
    <row r="99" spans="2:52">
      <c r="B99" s="25" t="s">
        <v>206</v>
      </c>
      <c r="C99" s="48">
        <v>42877</v>
      </c>
      <c r="D99" s="152"/>
      <c r="E99" s="99"/>
      <c r="F99" s="67"/>
      <c r="G99" s="67"/>
      <c r="H99" s="67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63"/>
      <c r="V99" s="50"/>
      <c r="W99" s="50"/>
      <c r="X99" s="50"/>
      <c r="Y99" s="50"/>
      <c r="Z99" s="50"/>
      <c r="AA99" s="50"/>
      <c r="AB99" s="50"/>
      <c r="AC99" s="50"/>
      <c r="AD99" s="62"/>
      <c r="AE99" s="50"/>
      <c r="AF99" s="50"/>
      <c r="AG99" s="50"/>
      <c r="AH99" s="83"/>
      <c r="AI99" s="50"/>
      <c r="AJ99" s="50"/>
      <c r="AK99" s="50"/>
      <c r="AL99" s="64"/>
      <c r="AM99" s="128"/>
      <c r="AN99" s="128"/>
      <c r="AO99" s="128"/>
      <c r="AP99" s="128"/>
      <c r="AQ99" s="128"/>
      <c r="AR99" s="128"/>
      <c r="AS99" s="128"/>
      <c r="AT99" s="128"/>
      <c r="AU99" s="128"/>
      <c r="AV99" s="128">
        <v>1</v>
      </c>
      <c r="AW99" s="128"/>
      <c r="AX99" s="128"/>
      <c r="AY99" s="83">
        <f t="shared" si="40"/>
        <v>1</v>
      </c>
      <c r="AZ99" s="18">
        <f t="shared" si="34"/>
        <v>11</v>
      </c>
    </row>
    <row r="100" spans="2:52">
      <c r="B100" s="25" t="s">
        <v>218</v>
      </c>
      <c r="C100" s="48">
        <v>42970</v>
      </c>
      <c r="D100" s="152"/>
      <c r="E100" s="99"/>
      <c r="F100" s="67"/>
      <c r="G100" s="67"/>
      <c r="H100" s="67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63"/>
      <c r="V100" s="50"/>
      <c r="W100" s="50"/>
      <c r="X100" s="50"/>
      <c r="Y100" s="50"/>
      <c r="Z100" s="50"/>
      <c r="AA100" s="50"/>
      <c r="AB100" s="50"/>
      <c r="AC100" s="50"/>
      <c r="AD100" s="62"/>
      <c r="AE100" s="50"/>
      <c r="AF100" s="50"/>
      <c r="AG100" s="50"/>
      <c r="AH100" s="83"/>
      <c r="AI100" s="50"/>
      <c r="AJ100" s="50"/>
      <c r="AK100" s="50"/>
      <c r="AL100" s="64"/>
      <c r="AM100" s="128"/>
      <c r="AN100" s="128"/>
      <c r="AO100" s="128"/>
      <c r="AP100" s="128"/>
      <c r="AQ100" s="128"/>
      <c r="AR100" s="128"/>
      <c r="AS100" s="128"/>
      <c r="AT100" s="128"/>
      <c r="AU100" s="128"/>
      <c r="AV100" s="128"/>
      <c r="AW100" s="128">
        <v>2</v>
      </c>
      <c r="AX100" s="128"/>
      <c r="AY100" s="83">
        <f t="shared" si="40"/>
        <v>2</v>
      </c>
      <c r="AZ100" s="18">
        <f t="shared" si="34"/>
        <v>10</v>
      </c>
    </row>
    <row r="101" spans="2:52">
      <c r="B101" s="54" t="s">
        <v>4</v>
      </c>
      <c r="C101" s="55"/>
      <c r="D101" s="55"/>
      <c r="E101" s="98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7"/>
      <c r="V101" s="55"/>
      <c r="W101" s="55"/>
      <c r="X101" s="55"/>
      <c r="Y101" s="55"/>
      <c r="Z101" s="55"/>
      <c r="AA101" s="55"/>
      <c r="AB101" s="55"/>
      <c r="AC101" s="55"/>
      <c r="AD101" s="115"/>
      <c r="AE101" s="55"/>
      <c r="AF101" s="55"/>
      <c r="AG101" s="55"/>
      <c r="AH101" s="87"/>
      <c r="AI101" s="55"/>
      <c r="AJ101" s="55"/>
      <c r="AK101" s="55"/>
      <c r="AL101" s="139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83">
        <f t="shared" si="40"/>
        <v>0</v>
      </c>
      <c r="AZ101" s="18">
        <f t="shared" si="34"/>
        <v>12</v>
      </c>
    </row>
    <row r="102" spans="2:52">
      <c r="B102" s="118" t="s">
        <v>54</v>
      </c>
      <c r="C102" s="119">
        <v>41948</v>
      </c>
      <c r="D102" s="154"/>
      <c r="E102" s="120" t="s">
        <v>188</v>
      </c>
      <c r="F102" s="121">
        <f ca="1">DATEDIF(C102,TODAY(),"Y")</f>
        <v>3</v>
      </c>
      <c r="G102" s="121">
        <f ca="1">DATEDIF(C102,TODAY(),"YM")</f>
        <v>10</v>
      </c>
      <c r="H102" s="121">
        <f ca="1">DATEDIF(C102,TODAY(),"MD")</f>
        <v>18</v>
      </c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2"/>
      <c r="W102" s="122"/>
      <c r="X102" s="122">
        <v>1</v>
      </c>
      <c r="Y102" s="122"/>
      <c r="Z102" s="122"/>
      <c r="AA102" s="122"/>
      <c r="AB102" s="122"/>
      <c r="AC102" s="122"/>
      <c r="AD102" s="124"/>
      <c r="AE102" s="122"/>
      <c r="AF102" s="122">
        <v>1</v>
      </c>
      <c r="AG102" s="122"/>
      <c r="AH102" s="125">
        <f>SUM(V102:AG102)</f>
        <v>2</v>
      </c>
      <c r="AI102" s="122"/>
      <c r="AJ102" s="122">
        <f>SUM(V102:AA102)</f>
        <v>1</v>
      </c>
      <c r="AK102" s="122">
        <f ca="1">IF(AI102&gt;=AJ102,INT($F102/5)+$A$1-SUM(AB102:AG102),INT($F102/5)+$A$1-(SUM(V102:AG102)-AI102))</f>
        <v>10</v>
      </c>
      <c r="AL102" s="141"/>
      <c r="AM102" s="131"/>
      <c r="AN102" s="131"/>
      <c r="AO102" s="131"/>
      <c r="AP102" s="131"/>
      <c r="AQ102" s="131"/>
      <c r="AR102" s="131"/>
      <c r="AS102" s="131"/>
      <c r="AT102" s="131"/>
      <c r="AU102" s="131"/>
      <c r="AV102" s="131"/>
      <c r="AW102" s="131"/>
      <c r="AX102" s="131"/>
      <c r="AY102" s="83">
        <f>SUM(AM102:AX102)</f>
        <v>0</v>
      </c>
      <c r="AZ102" s="18">
        <f t="shared" ca="1" si="34"/>
        <v>22</v>
      </c>
    </row>
    <row r="103" spans="2:52">
      <c r="B103" s="25" t="s">
        <v>38</v>
      </c>
      <c r="C103" s="48">
        <v>41831</v>
      </c>
      <c r="D103" s="152"/>
      <c r="E103" s="99" t="s">
        <v>190</v>
      </c>
      <c r="F103" s="67">
        <f ca="1">DATEDIF(C103,TODAY(),"Y")</f>
        <v>4</v>
      </c>
      <c r="G103" s="67">
        <f ca="1">DATEDIF(C103,TODAY(),"YM")</f>
        <v>2</v>
      </c>
      <c r="H103" s="67">
        <f ca="1">DATEDIF(C103,TODAY(),"MD")</f>
        <v>12</v>
      </c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63"/>
      <c r="V103" s="50"/>
      <c r="W103" s="50">
        <v>1</v>
      </c>
      <c r="X103" s="50"/>
      <c r="Y103" s="50"/>
      <c r="Z103" s="50"/>
      <c r="AA103" s="50"/>
      <c r="AB103" s="50"/>
      <c r="AC103" s="50"/>
      <c r="AD103" s="62"/>
      <c r="AE103" s="50"/>
      <c r="AF103" s="50">
        <v>2</v>
      </c>
      <c r="AG103" s="50"/>
      <c r="AH103" s="83">
        <f>SUM(V103:AG103)</f>
        <v>3</v>
      </c>
      <c r="AI103" s="50"/>
      <c r="AJ103" s="50">
        <f>SUM(V103:AA103)</f>
        <v>1</v>
      </c>
      <c r="AK103" s="50">
        <f ca="1">IF(AI103&gt;=AJ103,INT($F103/5)+$A$1-SUM(AB103:AG103),INT($F103/5)+$A$1-(SUM(V103:AG103)-AI103))</f>
        <v>9</v>
      </c>
      <c r="AL103" s="64"/>
      <c r="AM103" s="128">
        <v>1</v>
      </c>
      <c r="AN103" s="128"/>
      <c r="AO103" s="128"/>
      <c r="AP103" s="128"/>
      <c r="AQ103" s="128"/>
      <c r="AR103" s="128"/>
      <c r="AS103" s="128"/>
      <c r="AT103" s="128"/>
      <c r="AU103" s="128">
        <v>2</v>
      </c>
      <c r="AV103" s="128"/>
      <c r="AW103" s="128"/>
      <c r="AX103" s="128"/>
      <c r="AY103" s="83">
        <f>SUM(AM103:AX103)</f>
        <v>3</v>
      </c>
      <c r="AZ103" s="18">
        <f t="shared" ca="1" si="34"/>
        <v>18</v>
      </c>
    </row>
    <row r="104" spans="2:52">
      <c r="B104" s="25" t="s">
        <v>110</v>
      </c>
      <c r="C104" s="48">
        <v>42331</v>
      </c>
      <c r="D104" s="152"/>
      <c r="E104" s="99"/>
      <c r="F104" s="67">
        <f t="shared" ref="F104:F109" ca="1" si="41">DATEDIF(C104,TODAY(),"Y")</f>
        <v>2</v>
      </c>
      <c r="G104" s="67">
        <f t="shared" ref="G104:G109" ca="1" si="42">DATEDIF(C104,TODAY(),"YM")</f>
        <v>10</v>
      </c>
      <c r="H104" s="67">
        <f t="shared" ref="H104:H109" ca="1" si="43">DATEDIF(C104,TODAY(),"MD")</f>
        <v>0</v>
      </c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63"/>
      <c r="V104" s="50"/>
      <c r="W104" s="50"/>
      <c r="X104" s="50"/>
      <c r="Y104" s="50"/>
      <c r="Z104" s="50"/>
      <c r="AA104" s="50"/>
      <c r="AB104" s="50"/>
      <c r="AC104" s="50"/>
      <c r="AD104" s="62"/>
      <c r="AE104" s="50"/>
      <c r="AF104" s="50"/>
      <c r="AG104" s="50">
        <v>1</v>
      </c>
      <c r="AH104" s="83">
        <f t="shared" ref="AH104:AH109" si="44">SUM(V104:AG104)</f>
        <v>1</v>
      </c>
      <c r="AI104" s="50"/>
      <c r="AJ104" s="50">
        <f t="shared" ref="AJ104:AJ109" si="45">SUM(V104:AA104)</f>
        <v>0</v>
      </c>
      <c r="AK104" s="50">
        <f ca="1">IF(AI104&gt;=AJ104,INT($F104/5)+$A$1-SUM(AB104:AG104),INT($F104/5)+$A$1-(SUM(V104:AG104)-AI104))</f>
        <v>11</v>
      </c>
      <c r="AL104" s="64"/>
      <c r="AM104" s="128">
        <v>0</v>
      </c>
      <c r="AN104" s="128">
        <v>1</v>
      </c>
      <c r="AO104" s="128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83">
        <f t="shared" ref="AY104:AY117" si="46">SUM(AM104:AX104)</f>
        <v>1</v>
      </c>
      <c r="AZ104" s="18">
        <f t="shared" ca="1" si="34"/>
        <v>22</v>
      </c>
    </row>
    <row r="105" spans="2:52">
      <c r="B105" s="25" t="s">
        <v>114</v>
      </c>
      <c r="C105" s="48">
        <v>42390</v>
      </c>
      <c r="D105" s="152"/>
      <c r="E105" s="99"/>
      <c r="F105" s="67">
        <f t="shared" ca="1" si="41"/>
        <v>2</v>
      </c>
      <c r="G105" s="67">
        <f t="shared" ca="1" si="42"/>
        <v>8</v>
      </c>
      <c r="H105" s="67">
        <f t="shared" ca="1" si="43"/>
        <v>2</v>
      </c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63"/>
      <c r="V105" s="50"/>
      <c r="W105" s="50"/>
      <c r="X105" s="50"/>
      <c r="Y105" s="50"/>
      <c r="Z105" s="50"/>
      <c r="AA105" s="50"/>
      <c r="AB105" s="50"/>
      <c r="AC105" s="50"/>
      <c r="AD105" s="62"/>
      <c r="AE105" s="50"/>
      <c r="AF105" s="50">
        <v>1</v>
      </c>
      <c r="AG105" s="50"/>
      <c r="AH105" s="83">
        <f t="shared" si="44"/>
        <v>1</v>
      </c>
      <c r="AI105" s="50"/>
      <c r="AJ105" s="50">
        <f t="shared" si="45"/>
        <v>0</v>
      </c>
      <c r="AK105" s="50">
        <f ca="1">IF(AI105&gt;=AJ105,INT($F105/5)+9-SUM(AB105:AG105),INT($F105/5)+9-(SUM(V105:AG105)-AI105))</f>
        <v>8</v>
      </c>
      <c r="AL105" s="64"/>
      <c r="AM105" s="128"/>
      <c r="AN105" s="128"/>
      <c r="AO105" s="128"/>
      <c r="AP105" s="128"/>
      <c r="AQ105" s="128"/>
      <c r="AR105" s="128"/>
      <c r="AS105" s="128">
        <v>1</v>
      </c>
      <c r="AT105" s="128"/>
      <c r="AU105" s="128"/>
      <c r="AV105" s="128">
        <v>2</v>
      </c>
      <c r="AW105" s="128"/>
      <c r="AX105" s="128"/>
      <c r="AY105" s="83">
        <f t="shared" si="46"/>
        <v>3</v>
      </c>
      <c r="AZ105" s="18">
        <f t="shared" ca="1" si="34"/>
        <v>17</v>
      </c>
    </row>
    <row r="106" spans="2:52">
      <c r="B106" s="25" t="s">
        <v>97</v>
      </c>
      <c r="C106" s="49">
        <v>42217</v>
      </c>
      <c r="D106" s="155"/>
      <c r="E106" s="100"/>
      <c r="F106" s="67">
        <f t="shared" ca="1" si="41"/>
        <v>3</v>
      </c>
      <c r="G106" s="67">
        <f t="shared" ca="1" si="42"/>
        <v>1</v>
      </c>
      <c r="H106" s="67">
        <f t="shared" ca="1" si="43"/>
        <v>22</v>
      </c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63"/>
      <c r="V106" s="50"/>
      <c r="W106" s="50"/>
      <c r="X106" s="50"/>
      <c r="Y106" s="50"/>
      <c r="Z106" s="50"/>
      <c r="AA106" s="50"/>
      <c r="AB106" s="50"/>
      <c r="AC106" s="50"/>
      <c r="AD106" s="62"/>
      <c r="AE106" s="50"/>
      <c r="AF106" s="50"/>
      <c r="AG106" s="50"/>
      <c r="AH106" s="83">
        <f t="shared" si="44"/>
        <v>0</v>
      </c>
      <c r="AI106" s="50"/>
      <c r="AJ106" s="50">
        <f t="shared" si="45"/>
        <v>0</v>
      </c>
      <c r="AK106" s="50">
        <f ca="1">IF(AI106&gt;=AJ106,INT($F106/5)+$A$1-SUM(AB106:AG106),INT($F106/5)+$A$1-(SUM(V106:AG106)-AI106))</f>
        <v>12</v>
      </c>
      <c r="AL106" s="64"/>
      <c r="AM106" s="128">
        <v>1</v>
      </c>
      <c r="AN106" s="128"/>
      <c r="AO106" s="128"/>
      <c r="AP106" s="128"/>
      <c r="AQ106" s="128"/>
      <c r="AR106" s="128"/>
      <c r="AS106" s="128"/>
      <c r="AT106" s="128"/>
      <c r="AU106" s="128">
        <v>1</v>
      </c>
      <c r="AV106" s="128"/>
      <c r="AW106" s="128"/>
      <c r="AX106" s="128"/>
      <c r="AY106" s="83">
        <f t="shared" si="46"/>
        <v>2</v>
      </c>
      <c r="AZ106" s="18">
        <f t="shared" ca="1" si="34"/>
        <v>22</v>
      </c>
    </row>
    <row r="107" spans="2:52">
      <c r="B107" s="25" t="s">
        <v>117</v>
      </c>
      <c r="C107" s="49">
        <v>42440</v>
      </c>
      <c r="D107" s="155"/>
      <c r="E107" s="100"/>
      <c r="F107" s="67">
        <f t="shared" ca="1" si="41"/>
        <v>2</v>
      </c>
      <c r="G107" s="67">
        <f t="shared" ca="1" si="42"/>
        <v>6</v>
      </c>
      <c r="H107" s="67">
        <f t="shared" ca="1" si="43"/>
        <v>12</v>
      </c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63"/>
      <c r="V107" s="50"/>
      <c r="W107" s="50"/>
      <c r="X107" s="50"/>
      <c r="Y107" s="50"/>
      <c r="Z107" s="50"/>
      <c r="AA107" s="50"/>
      <c r="AB107" s="50"/>
      <c r="AC107" s="50"/>
      <c r="AD107" s="62"/>
      <c r="AE107" s="50"/>
      <c r="AF107" s="50">
        <v>4</v>
      </c>
      <c r="AG107" s="50">
        <v>2</v>
      </c>
      <c r="AH107" s="83">
        <f t="shared" si="44"/>
        <v>6</v>
      </c>
      <c r="AI107" s="50"/>
      <c r="AJ107" s="50">
        <f t="shared" si="45"/>
        <v>0</v>
      </c>
      <c r="AK107" s="50">
        <f ca="1">IF(AI107&gt;=AJ107,INT($F107/5)+7-SUM(AB107:AG107),INT($F107/5)+7-(SUM(V107:AG107)-AI107))</f>
        <v>1</v>
      </c>
      <c r="AL107" s="64"/>
      <c r="AM107" s="128">
        <v>0</v>
      </c>
      <c r="AN107" s="128">
        <v>1</v>
      </c>
      <c r="AO107" s="128">
        <v>1</v>
      </c>
      <c r="AP107" s="128"/>
      <c r="AQ107" s="128"/>
      <c r="AR107" s="128"/>
      <c r="AS107" s="128">
        <v>1</v>
      </c>
      <c r="AT107" s="128"/>
      <c r="AU107" s="128"/>
      <c r="AV107" s="128">
        <v>2</v>
      </c>
      <c r="AW107" s="128"/>
      <c r="AX107" s="128"/>
      <c r="AY107" s="83">
        <f t="shared" si="46"/>
        <v>5</v>
      </c>
      <c r="AZ107" s="18">
        <f t="shared" ca="1" si="34"/>
        <v>8</v>
      </c>
    </row>
    <row r="108" spans="2:52">
      <c r="B108" s="25" t="s">
        <v>138</v>
      </c>
      <c r="C108" s="49">
        <v>42492</v>
      </c>
      <c r="D108" s="155"/>
      <c r="E108" s="100"/>
      <c r="F108" s="67">
        <f t="shared" ca="1" si="41"/>
        <v>2</v>
      </c>
      <c r="G108" s="67">
        <f t="shared" ca="1" si="42"/>
        <v>4</v>
      </c>
      <c r="H108" s="67">
        <f t="shared" ca="1" si="43"/>
        <v>21</v>
      </c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63"/>
      <c r="V108" s="50"/>
      <c r="W108" s="50"/>
      <c r="X108" s="50"/>
      <c r="Y108" s="50"/>
      <c r="Z108" s="50"/>
      <c r="AA108" s="50"/>
      <c r="AB108" s="50"/>
      <c r="AC108" s="50"/>
      <c r="AD108" s="62"/>
      <c r="AE108" s="50"/>
      <c r="AF108" s="50"/>
      <c r="AG108" s="50">
        <v>1</v>
      </c>
      <c r="AH108" s="83">
        <f t="shared" si="44"/>
        <v>1</v>
      </c>
      <c r="AI108" s="50"/>
      <c r="AJ108" s="50">
        <f t="shared" si="45"/>
        <v>0</v>
      </c>
      <c r="AK108" s="50">
        <f ca="1">IF(AI108&gt;=AJ108,INT($F108/5)+6-SUM(AB108:AG108),INT($F108/5)+6-(SUM(V108:AG108)-AI108))</f>
        <v>5</v>
      </c>
      <c r="AL108" s="64"/>
      <c r="AM108" s="128"/>
      <c r="AN108" s="128"/>
      <c r="AO108" s="128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83">
        <f t="shared" si="46"/>
        <v>0</v>
      </c>
      <c r="AZ108" s="18">
        <f t="shared" ca="1" si="34"/>
        <v>17</v>
      </c>
    </row>
    <row r="109" spans="2:52">
      <c r="B109" s="25" t="s">
        <v>136</v>
      </c>
      <c r="C109" s="48">
        <v>42506</v>
      </c>
      <c r="D109" s="152"/>
      <c r="E109" s="99"/>
      <c r="F109" s="67">
        <f t="shared" ca="1" si="41"/>
        <v>2</v>
      </c>
      <c r="G109" s="67">
        <f t="shared" ca="1" si="42"/>
        <v>4</v>
      </c>
      <c r="H109" s="67">
        <f t="shared" ca="1" si="43"/>
        <v>7</v>
      </c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63"/>
      <c r="V109" s="50"/>
      <c r="W109" s="50"/>
      <c r="X109" s="50"/>
      <c r="Y109" s="50"/>
      <c r="Z109" s="50"/>
      <c r="AA109" s="50"/>
      <c r="AB109" s="50"/>
      <c r="AC109" s="50"/>
      <c r="AD109" s="62">
        <v>1</v>
      </c>
      <c r="AE109" s="50"/>
      <c r="AF109" s="50">
        <v>2</v>
      </c>
      <c r="AG109" s="50">
        <v>1</v>
      </c>
      <c r="AH109" s="83">
        <f t="shared" si="44"/>
        <v>4</v>
      </c>
      <c r="AI109" s="50"/>
      <c r="AJ109" s="50">
        <f t="shared" si="45"/>
        <v>0</v>
      </c>
      <c r="AK109" s="50">
        <f ca="1">IF(AI109&gt;=AJ109,INT($F109/5)+5-SUM(AB109:AG109),INT($F109/5)+5-(SUM(V109:AG109)-AI109))</f>
        <v>1</v>
      </c>
      <c r="AL109" s="64"/>
      <c r="AM109" s="128"/>
      <c r="AN109" s="128">
        <v>1</v>
      </c>
      <c r="AO109" s="128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83">
        <f t="shared" si="46"/>
        <v>1</v>
      </c>
      <c r="AZ109" s="18">
        <f t="shared" ca="1" si="34"/>
        <v>12</v>
      </c>
    </row>
    <row r="110" spans="2:52">
      <c r="B110" s="25" t="s">
        <v>178</v>
      </c>
      <c r="C110" s="49">
        <v>42689</v>
      </c>
      <c r="D110" s="49"/>
      <c r="E110" s="117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63"/>
      <c r="V110" s="50"/>
      <c r="W110" s="50"/>
      <c r="X110" s="50"/>
      <c r="Y110" s="50"/>
      <c r="Z110" s="50"/>
      <c r="AA110" s="50"/>
      <c r="AB110" s="50"/>
      <c r="AC110" s="50"/>
      <c r="AD110" s="62"/>
      <c r="AE110" s="50"/>
      <c r="AF110" s="50"/>
      <c r="AG110" s="50"/>
      <c r="AH110" s="83"/>
      <c r="AI110" s="50"/>
      <c r="AJ110" s="50"/>
      <c r="AK110" s="50"/>
      <c r="AL110" s="64"/>
      <c r="AM110" s="128"/>
      <c r="AN110" s="128">
        <v>1</v>
      </c>
      <c r="AO110" s="128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83">
        <f t="shared" si="46"/>
        <v>1</v>
      </c>
      <c r="AZ110" s="18">
        <f t="shared" si="34"/>
        <v>11</v>
      </c>
    </row>
    <row r="111" spans="2:52">
      <c r="B111" s="25" t="s">
        <v>191</v>
      </c>
      <c r="C111" s="48">
        <v>42723</v>
      </c>
      <c r="D111" s="48"/>
      <c r="E111" s="117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63"/>
      <c r="V111" s="50"/>
      <c r="W111" s="50"/>
      <c r="X111" s="50"/>
      <c r="Y111" s="50"/>
      <c r="Z111" s="50"/>
      <c r="AA111" s="50"/>
      <c r="AB111" s="50"/>
      <c r="AC111" s="50"/>
      <c r="AD111" s="62"/>
      <c r="AE111" s="50"/>
      <c r="AF111" s="50"/>
      <c r="AG111" s="50"/>
      <c r="AH111" s="83"/>
      <c r="AI111" s="50"/>
      <c r="AJ111" s="50"/>
      <c r="AK111" s="50"/>
      <c r="AL111" s="64"/>
      <c r="AM111" s="128">
        <v>0</v>
      </c>
      <c r="AN111" s="128">
        <v>0</v>
      </c>
      <c r="AO111" s="128"/>
      <c r="AP111" s="128"/>
      <c r="AQ111" s="128"/>
      <c r="AR111" s="128"/>
      <c r="AS111" s="128"/>
      <c r="AT111" s="128"/>
      <c r="AU111" s="128"/>
      <c r="AV111" s="128"/>
      <c r="AW111" s="128"/>
      <c r="AX111" s="128"/>
      <c r="AY111" s="83">
        <f t="shared" si="46"/>
        <v>0</v>
      </c>
      <c r="AZ111" s="18">
        <f t="shared" si="34"/>
        <v>12</v>
      </c>
    </row>
    <row r="112" spans="2:52">
      <c r="B112" s="50" t="s">
        <v>204</v>
      </c>
      <c r="C112" s="48">
        <v>42857</v>
      </c>
      <c r="D112" s="48"/>
      <c r="E112" s="117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63"/>
      <c r="V112" s="50"/>
      <c r="W112" s="50"/>
      <c r="X112" s="50"/>
      <c r="Y112" s="50"/>
      <c r="Z112" s="50"/>
      <c r="AA112" s="50"/>
      <c r="AB112" s="50"/>
      <c r="AC112" s="50"/>
      <c r="AD112" s="62"/>
      <c r="AE112" s="50"/>
      <c r="AF112" s="50"/>
      <c r="AG112" s="50"/>
      <c r="AH112" s="83"/>
      <c r="AI112" s="50"/>
      <c r="AJ112" s="50"/>
      <c r="AK112" s="50"/>
      <c r="AL112" s="64"/>
      <c r="AM112" s="128"/>
      <c r="AN112" s="128"/>
      <c r="AO112" s="128"/>
      <c r="AP112" s="128"/>
      <c r="AQ112" s="128"/>
      <c r="AR112" s="128"/>
      <c r="AS112" s="128"/>
      <c r="AT112" s="128"/>
      <c r="AU112" s="128"/>
      <c r="AV112" s="128"/>
      <c r="AW112" s="128"/>
      <c r="AX112" s="128"/>
      <c r="AY112" s="83">
        <f t="shared" si="46"/>
        <v>0</v>
      </c>
      <c r="AZ112" s="18">
        <f t="shared" si="34"/>
        <v>12</v>
      </c>
    </row>
    <row r="113" spans="2:52">
      <c r="B113" s="50" t="s">
        <v>205</v>
      </c>
      <c r="C113" s="48">
        <v>42857</v>
      </c>
      <c r="D113" s="48"/>
      <c r="E113" s="117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63"/>
      <c r="V113" s="50"/>
      <c r="W113" s="50"/>
      <c r="X113" s="50"/>
      <c r="Y113" s="50"/>
      <c r="Z113" s="50"/>
      <c r="AA113" s="50"/>
      <c r="AB113" s="50"/>
      <c r="AC113" s="50"/>
      <c r="AD113" s="62"/>
      <c r="AE113" s="50"/>
      <c r="AF113" s="50"/>
      <c r="AG113" s="50"/>
      <c r="AH113" s="83"/>
      <c r="AI113" s="50"/>
      <c r="AJ113" s="50"/>
      <c r="AK113" s="50"/>
      <c r="AL113" s="64"/>
      <c r="AM113" s="128"/>
      <c r="AN113" s="128"/>
      <c r="AO113" s="128"/>
      <c r="AP113" s="128"/>
      <c r="AQ113" s="128"/>
      <c r="AR113" s="128"/>
      <c r="AS113" s="128"/>
      <c r="AT113" s="128"/>
      <c r="AU113" s="128"/>
      <c r="AV113" s="128"/>
      <c r="AW113" s="128"/>
      <c r="AX113" s="128"/>
      <c r="AY113" s="83">
        <f t="shared" si="46"/>
        <v>0</v>
      </c>
      <c r="AZ113" s="18">
        <f t="shared" si="34"/>
        <v>12</v>
      </c>
    </row>
    <row r="114" spans="2:52">
      <c r="B114" s="50" t="s">
        <v>208</v>
      </c>
      <c r="C114" s="48">
        <v>42920</v>
      </c>
      <c r="D114" s="48"/>
      <c r="E114" s="117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63"/>
      <c r="V114" s="50"/>
      <c r="W114" s="50"/>
      <c r="X114" s="50"/>
      <c r="Y114" s="50"/>
      <c r="Z114" s="50"/>
      <c r="AA114" s="50"/>
      <c r="AB114" s="50"/>
      <c r="AC114" s="50"/>
      <c r="AD114" s="62"/>
      <c r="AE114" s="50"/>
      <c r="AF114" s="50"/>
      <c r="AG114" s="50"/>
      <c r="AH114" s="83"/>
      <c r="AI114" s="50"/>
      <c r="AJ114" s="50"/>
      <c r="AK114" s="50"/>
      <c r="AL114" s="64"/>
      <c r="AM114" s="128"/>
      <c r="AN114" s="128"/>
      <c r="AO114" s="128"/>
      <c r="AP114" s="128"/>
      <c r="AQ114" s="128"/>
      <c r="AR114" s="128"/>
      <c r="AS114" s="128"/>
      <c r="AT114" s="128"/>
      <c r="AU114" s="128">
        <v>1</v>
      </c>
      <c r="AV114" s="128">
        <v>1</v>
      </c>
      <c r="AW114" s="128"/>
      <c r="AX114" s="128"/>
      <c r="AY114" s="83">
        <f t="shared" si="46"/>
        <v>2</v>
      </c>
      <c r="AZ114" s="18">
        <f t="shared" si="34"/>
        <v>10</v>
      </c>
    </row>
    <row r="115" spans="2:52">
      <c r="B115" s="50" t="s">
        <v>209</v>
      </c>
      <c r="C115" s="48">
        <v>42923</v>
      </c>
      <c r="D115" s="48"/>
      <c r="E115" s="117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63"/>
      <c r="V115" s="50"/>
      <c r="W115" s="50"/>
      <c r="X115" s="50"/>
      <c r="Y115" s="50"/>
      <c r="Z115" s="50"/>
      <c r="AA115" s="50"/>
      <c r="AB115" s="50"/>
      <c r="AC115" s="50"/>
      <c r="AD115" s="62"/>
      <c r="AE115" s="50"/>
      <c r="AF115" s="50"/>
      <c r="AG115" s="50"/>
      <c r="AH115" s="83"/>
      <c r="AI115" s="50"/>
      <c r="AJ115" s="50"/>
      <c r="AK115" s="50"/>
      <c r="AL115" s="64"/>
      <c r="AM115" s="128"/>
      <c r="AN115" s="128"/>
      <c r="AO115" s="128"/>
      <c r="AP115" s="128"/>
      <c r="AQ115" s="128"/>
      <c r="AR115" s="128"/>
      <c r="AS115" s="128"/>
      <c r="AT115" s="128"/>
      <c r="AU115" s="128"/>
      <c r="AV115" s="128"/>
      <c r="AW115" s="128"/>
      <c r="AX115" s="128"/>
      <c r="AY115" s="83">
        <f t="shared" si="46"/>
        <v>0</v>
      </c>
      <c r="AZ115" s="18">
        <f t="shared" si="34"/>
        <v>12</v>
      </c>
    </row>
    <row r="116" spans="2:52">
      <c r="B116" s="162" t="s">
        <v>205</v>
      </c>
      <c r="C116" s="48">
        <v>42857</v>
      </c>
      <c r="D116" s="48"/>
      <c r="E116" s="117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63"/>
      <c r="V116" s="50"/>
      <c r="W116" s="50"/>
      <c r="X116" s="50"/>
      <c r="Y116" s="50"/>
      <c r="Z116" s="50"/>
      <c r="AA116" s="50"/>
      <c r="AB116" s="50"/>
      <c r="AC116" s="50"/>
      <c r="AD116" s="62"/>
      <c r="AE116" s="50"/>
      <c r="AF116" s="50"/>
      <c r="AG116" s="50"/>
      <c r="AH116" s="83"/>
      <c r="AI116" s="50"/>
      <c r="AJ116" s="50"/>
      <c r="AK116" s="50"/>
      <c r="AL116" s="64"/>
      <c r="AM116" s="128"/>
      <c r="AN116" s="128"/>
      <c r="AO116" s="128"/>
      <c r="AP116" s="128"/>
      <c r="AQ116" s="128"/>
      <c r="AR116" s="128"/>
      <c r="AS116" s="128"/>
      <c r="AT116" s="128"/>
      <c r="AU116" s="128">
        <v>1</v>
      </c>
      <c r="AV116" s="128"/>
      <c r="AW116" s="128">
        <v>2</v>
      </c>
      <c r="AX116" s="128"/>
      <c r="AY116" s="83">
        <f t="shared" si="46"/>
        <v>3</v>
      </c>
      <c r="AZ116" s="18">
        <f t="shared" si="34"/>
        <v>9</v>
      </c>
    </row>
    <row r="117" spans="2:52">
      <c r="B117" s="162" t="s">
        <v>219</v>
      </c>
      <c r="C117" s="48">
        <v>42971</v>
      </c>
      <c r="D117" s="48"/>
      <c r="E117" s="117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63"/>
      <c r="V117" s="50"/>
      <c r="W117" s="50"/>
      <c r="X117" s="50"/>
      <c r="Y117" s="50"/>
      <c r="Z117" s="50"/>
      <c r="AA117" s="50"/>
      <c r="AB117" s="50"/>
      <c r="AC117" s="50"/>
      <c r="AD117" s="62"/>
      <c r="AE117" s="50"/>
      <c r="AF117" s="50"/>
      <c r="AG117" s="50"/>
      <c r="AH117" s="83"/>
      <c r="AI117" s="50"/>
      <c r="AJ117" s="50"/>
      <c r="AK117" s="50"/>
      <c r="AL117" s="64"/>
      <c r="AM117" s="128"/>
      <c r="AN117" s="128"/>
      <c r="AO117" s="128"/>
      <c r="AP117" s="128"/>
      <c r="AQ117" s="128"/>
      <c r="AR117" s="128"/>
      <c r="AS117" s="128"/>
      <c r="AT117" s="128"/>
      <c r="AU117" s="128"/>
      <c r="AV117" s="128"/>
      <c r="AW117" s="128">
        <v>1</v>
      </c>
      <c r="AX117" s="128"/>
      <c r="AY117" s="83">
        <f t="shared" si="46"/>
        <v>1</v>
      </c>
      <c r="AZ117" s="18">
        <f t="shared" si="34"/>
        <v>11</v>
      </c>
    </row>
    <row r="118" spans="2:52">
      <c r="B118" s="53" t="s">
        <v>156</v>
      </c>
      <c r="C118" s="55"/>
      <c r="D118" s="55"/>
      <c r="E118" s="98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7"/>
      <c r="V118" s="55"/>
      <c r="W118" s="55"/>
      <c r="X118" s="55"/>
      <c r="Y118" s="55"/>
      <c r="Z118" s="55"/>
      <c r="AA118" s="55"/>
      <c r="AB118" s="55"/>
      <c r="AC118" s="55"/>
      <c r="AD118" s="115"/>
      <c r="AE118" s="55"/>
      <c r="AF118" s="55"/>
      <c r="AG118" s="55"/>
      <c r="AH118" s="83">
        <f>SUM(V118:AG118)</f>
        <v>0</v>
      </c>
      <c r="AI118" s="55"/>
      <c r="AJ118" s="55"/>
      <c r="AK118" s="55"/>
      <c r="AL118" s="139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83">
        <f>SUM(AM118:AX118)</f>
        <v>0</v>
      </c>
      <c r="AZ118" s="18">
        <f t="shared" si="34"/>
        <v>12</v>
      </c>
    </row>
    <row r="119" spans="2:52">
      <c r="B119" s="25" t="s">
        <v>48</v>
      </c>
      <c r="C119" s="48">
        <v>41944</v>
      </c>
      <c r="D119" s="152"/>
      <c r="E119" s="99"/>
      <c r="F119" s="67">
        <f ca="1">DATEDIF(C119,TODAY(),"Y")</f>
        <v>3</v>
      </c>
      <c r="G119" s="67">
        <f ca="1">DATEDIF(C119,TODAY(),"YM")</f>
        <v>10</v>
      </c>
      <c r="H119" s="67">
        <f ca="1">DATEDIF(C119,TODAY(),"MD")</f>
        <v>22</v>
      </c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63"/>
      <c r="V119" s="50"/>
      <c r="W119" s="50"/>
      <c r="X119" s="50"/>
      <c r="Y119" s="50"/>
      <c r="Z119" s="50"/>
      <c r="AA119" s="50"/>
      <c r="AB119" s="50"/>
      <c r="AC119" s="50"/>
      <c r="AD119" s="62"/>
      <c r="AE119" s="50"/>
      <c r="AF119" s="50"/>
      <c r="AG119" s="50"/>
      <c r="AH119" s="83">
        <f>SUM(V119:AG119)</f>
        <v>0</v>
      </c>
      <c r="AI119" s="50"/>
      <c r="AJ119" s="50">
        <f>SUM(V119:AA119)</f>
        <v>0</v>
      </c>
      <c r="AK119" s="50">
        <f ca="1">IF(AI119&gt;=AJ119,INT($F119/5)+$A$1-SUM(AB119:AG119),INT($F119/5)+$A$1-(SUM(V119:AG119)-AI119))</f>
        <v>12</v>
      </c>
      <c r="AL119" s="64"/>
      <c r="AM119" s="128"/>
      <c r="AN119" s="128"/>
      <c r="AO119" s="128"/>
      <c r="AP119" s="128"/>
      <c r="AQ119" s="128"/>
      <c r="AR119" s="128"/>
      <c r="AS119" s="128"/>
      <c r="AT119" s="128"/>
      <c r="AU119" s="128"/>
      <c r="AV119" s="128"/>
      <c r="AW119" s="128"/>
      <c r="AX119" s="128"/>
      <c r="AY119" s="83">
        <f>SUM(AM119:AX119)</f>
        <v>0</v>
      </c>
      <c r="AZ119" s="18">
        <f t="shared" ca="1" si="34"/>
        <v>24</v>
      </c>
    </row>
    <row r="120" spans="2:52">
      <c r="B120" s="25" t="s">
        <v>131</v>
      </c>
      <c r="C120" s="48">
        <v>42513</v>
      </c>
      <c r="D120" s="152"/>
      <c r="E120" s="99"/>
      <c r="F120" s="67">
        <f ca="1">DATEDIF(C120,TODAY(),"Y")</f>
        <v>2</v>
      </c>
      <c r="G120" s="67">
        <f ca="1">DATEDIF(C120,TODAY(),"YM")</f>
        <v>4</v>
      </c>
      <c r="H120" s="67">
        <f ca="1">DATEDIF(C120,TODAY(),"MD")</f>
        <v>0</v>
      </c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63"/>
      <c r="V120" s="50"/>
      <c r="W120" s="50"/>
      <c r="X120" s="50"/>
      <c r="Y120" s="50"/>
      <c r="Z120" s="50"/>
      <c r="AA120" s="50"/>
      <c r="AB120" s="50"/>
      <c r="AC120" s="50"/>
      <c r="AD120" s="62"/>
      <c r="AE120" s="50"/>
      <c r="AF120" s="50"/>
      <c r="AG120" s="50"/>
      <c r="AH120" s="83">
        <f>SUM(V120:AG120)</f>
        <v>0</v>
      </c>
      <c r="AI120" s="50"/>
      <c r="AJ120" s="50">
        <f>SUM(V120:AA120)</f>
        <v>0</v>
      </c>
      <c r="AK120" s="50">
        <f ca="1">IF(AI120&gt;=AJ120,INT($F120/5)+5-SUM(AB120:AG120),INT($F120/5)+5-(SUM(V120:AG120)-AI120))</f>
        <v>5</v>
      </c>
      <c r="AL120" s="64"/>
      <c r="AM120" s="128">
        <v>1</v>
      </c>
      <c r="AN120" s="128">
        <v>4</v>
      </c>
      <c r="AO120" s="128">
        <v>0</v>
      </c>
      <c r="AP120" s="128">
        <v>2</v>
      </c>
      <c r="AQ120" s="128"/>
      <c r="AR120" s="128"/>
      <c r="AS120" s="128"/>
      <c r="AT120" s="128"/>
      <c r="AU120" s="128">
        <v>1</v>
      </c>
      <c r="AV120" s="128"/>
      <c r="AW120" s="128"/>
      <c r="AX120" s="128">
        <v>1</v>
      </c>
      <c r="AY120" s="83">
        <f>SUM(AM120:AX120)</f>
        <v>9</v>
      </c>
      <c r="AZ120" s="18">
        <f t="shared" ca="1" si="34"/>
        <v>8</v>
      </c>
    </row>
    <row r="121" spans="2:52">
      <c r="B121" s="25" t="s">
        <v>177</v>
      </c>
      <c r="C121" s="48">
        <v>42660</v>
      </c>
      <c r="D121" s="152"/>
      <c r="E121" s="99"/>
      <c r="F121" s="67"/>
      <c r="G121" s="67"/>
      <c r="H121" s="67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63"/>
      <c r="V121" s="50"/>
      <c r="W121" s="50"/>
      <c r="X121" s="50"/>
      <c r="Y121" s="50"/>
      <c r="Z121" s="50"/>
      <c r="AA121" s="50"/>
      <c r="AB121" s="50"/>
      <c r="AC121" s="50"/>
      <c r="AD121" s="62"/>
      <c r="AE121" s="50"/>
      <c r="AF121" s="50"/>
      <c r="AG121" s="50"/>
      <c r="AH121" s="83">
        <f>SUM(V121:AG121)</f>
        <v>0</v>
      </c>
      <c r="AI121" s="50"/>
      <c r="AJ121" s="50"/>
      <c r="AK121" s="50"/>
      <c r="AL121" s="64"/>
      <c r="AM121" s="128"/>
      <c r="AN121" s="128"/>
      <c r="AO121" s="128"/>
      <c r="AP121" s="128"/>
      <c r="AQ121" s="128"/>
      <c r="AR121" s="128"/>
      <c r="AS121" s="128"/>
      <c r="AT121" s="128"/>
      <c r="AU121" s="128"/>
      <c r="AV121" s="128"/>
      <c r="AW121" s="128"/>
      <c r="AX121" s="128"/>
      <c r="AY121" s="83">
        <f>SUM(AM121:AX121)</f>
        <v>0</v>
      </c>
      <c r="AZ121" s="18">
        <f t="shared" si="34"/>
        <v>12</v>
      </c>
    </row>
    <row r="122" spans="2:52" ht="12.5">
      <c r="B122" s="18">
        <v>1</v>
      </c>
      <c r="C122" s="407">
        <v>2</v>
      </c>
      <c r="D122" s="18">
        <v>3</v>
      </c>
      <c r="E122" s="92">
        <v>4</v>
      </c>
      <c r="F122" s="18">
        <v>5</v>
      </c>
      <c r="G122" s="92">
        <v>6</v>
      </c>
      <c r="H122" s="18">
        <v>7</v>
      </c>
      <c r="I122" s="92">
        <v>8</v>
      </c>
      <c r="J122" s="18">
        <v>9</v>
      </c>
      <c r="K122" s="92">
        <v>10</v>
      </c>
      <c r="L122" s="18">
        <v>11</v>
      </c>
      <c r="M122" s="92">
        <v>12</v>
      </c>
      <c r="N122" s="18">
        <v>13</v>
      </c>
      <c r="O122" s="92">
        <v>14</v>
      </c>
      <c r="P122" s="18">
        <v>15</v>
      </c>
      <c r="Q122" s="92">
        <v>16</v>
      </c>
      <c r="R122" s="18">
        <v>17</v>
      </c>
      <c r="S122" s="92">
        <v>18</v>
      </c>
      <c r="T122" s="18">
        <v>19</v>
      </c>
      <c r="U122" s="92">
        <v>20</v>
      </c>
      <c r="V122" s="18">
        <v>21</v>
      </c>
      <c r="W122" s="92">
        <v>22</v>
      </c>
      <c r="X122" s="18">
        <v>23</v>
      </c>
      <c r="Y122" s="92">
        <v>24</v>
      </c>
      <c r="Z122" s="18">
        <v>25</v>
      </c>
      <c r="AA122" s="92">
        <v>26</v>
      </c>
      <c r="AB122" s="18">
        <v>27</v>
      </c>
      <c r="AC122" s="92">
        <v>28</v>
      </c>
      <c r="AD122" s="18">
        <v>29</v>
      </c>
      <c r="AE122" s="92">
        <v>30</v>
      </c>
      <c r="AF122" s="18">
        <v>31</v>
      </c>
      <c r="AG122" s="92">
        <v>32</v>
      </c>
      <c r="AH122" s="18">
        <v>33</v>
      </c>
      <c r="AI122" s="92">
        <v>34</v>
      </c>
      <c r="AJ122" s="18">
        <v>35</v>
      </c>
      <c r="AK122" s="92">
        <v>36</v>
      </c>
      <c r="AL122" s="18">
        <v>37</v>
      </c>
      <c r="AM122" s="92">
        <v>38</v>
      </c>
      <c r="AN122" s="18">
        <v>39</v>
      </c>
      <c r="AO122" s="92">
        <v>40</v>
      </c>
      <c r="AP122" s="18">
        <v>41</v>
      </c>
      <c r="AQ122" s="92">
        <v>42</v>
      </c>
      <c r="AR122" s="18">
        <v>43</v>
      </c>
      <c r="AS122" s="92">
        <v>44</v>
      </c>
      <c r="AT122" s="18">
        <v>45</v>
      </c>
      <c r="AU122" s="92">
        <v>46</v>
      </c>
      <c r="AV122" s="18">
        <v>47</v>
      </c>
      <c r="AW122" s="92">
        <v>48</v>
      </c>
      <c r="AX122" s="18">
        <v>49</v>
      </c>
      <c r="AY122" s="92">
        <v>50</v>
      </c>
      <c r="AZ122" s="18">
        <v>51</v>
      </c>
    </row>
  </sheetData>
  <mergeCells count="8">
    <mergeCell ref="AM3:AX3"/>
    <mergeCell ref="B1:AK1"/>
    <mergeCell ref="F3:H3"/>
    <mergeCell ref="I3:T3"/>
    <mergeCell ref="V3:AG3"/>
    <mergeCell ref="AI3:AI4"/>
    <mergeCell ref="AJ3:AJ4"/>
    <mergeCell ref="AK3:AK4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THANG B.LUONG</vt:lpstr>
      <vt:lpstr>Luong VP</vt:lpstr>
      <vt:lpstr>DT-DS</vt:lpstr>
      <vt:lpstr>TH ngay phep</vt:lpstr>
      <vt:lpstr>phep</vt:lpstr>
      <vt:lpstr>Phép năm</vt:lpstr>
      <vt:lpstr>'Luong VP'!Print_Titles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Ngoc Hung</dc:creator>
  <cp:lastModifiedBy>Xuan Tran</cp:lastModifiedBy>
  <cp:lastPrinted>2018-09-05T03:29:38Z</cp:lastPrinted>
  <dcterms:created xsi:type="dcterms:W3CDTF">2006-07-24T08:00:09Z</dcterms:created>
  <dcterms:modified xsi:type="dcterms:W3CDTF">2018-09-23T07:42:15Z</dcterms:modified>
</cp:coreProperties>
</file>